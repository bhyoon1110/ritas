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\11_PROJECT_SI\26_RITAS AX  RIST\"/>
    </mc:Choice>
  </mc:AlternateContent>
  <xr:revisionPtr revIDLastSave="0" documentId="13_ncr:1_{FCAE340B-0708-48CC-8EB8-0B5E0B70D2D8}" xr6:coauthVersionLast="47" xr6:coauthVersionMax="47" xr10:uidLastSave="{00000000-0000-0000-0000-000000000000}"/>
  <bookViews>
    <workbookView xWindow="-120" yWindow="-120" windowWidth="29040" windowHeight="15720" tabRatio="604" xr2:uid="{00000000-000D-0000-FFFF-FFFF00000000}"/>
  </bookViews>
  <sheets>
    <sheet name="표준견적서" sheetId="15" r:id="rId1"/>
    <sheet name="세부 내역" sheetId="12" r:id="rId2"/>
    <sheet name="26년 SW기술자 평균임금" sheetId="1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Fill" hidden="1">#REF!</definedName>
    <definedName name="_Order1" hidden="1">255</definedName>
    <definedName name="_Order2" hidden="1">255</definedName>
    <definedName name="A">#REF!</definedName>
    <definedName name="AA">[1]재료비!#REF!</definedName>
    <definedName name="D">#REF!</definedName>
    <definedName name="danga">[2]danga!$A$1:$M$235</definedName>
    <definedName name="eee">#REF!</definedName>
    <definedName name="ggg">#REF!</definedName>
    <definedName name="ilch">[2]ilch!$A$3:$M$25</definedName>
    <definedName name="L">#REF!</definedName>
    <definedName name="print">#REF!</definedName>
    <definedName name="_xlnm.Print_Area">#REF!</definedName>
    <definedName name="sanch_2">#REF!</definedName>
    <definedName name="sanch_3">#REF!</definedName>
    <definedName name="sanch_4">#REF!</definedName>
    <definedName name="간노">[3]노무비!$F$31</definedName>
    <definedName name="간재">[3]재료비!#REF!</definedName>
    <definedName name="간접노">#REF!</definedName>
    <definedName name="간접재">#REF!</definedName>
    <definedName name="경비">#REF!</definedName>
    <definedName name="공사원가명세서">#REF!</definedName>
    <definedName name="공사원가명세서분석표1">[4]경산!#REF!</definedName>
    <definedName name="기계재">#REF!</definedName>
    <definedName name="ㄴ">#REF!</definedName>
    <definedName name="노무비">#REF!</definedName>
    <definedName name="노임">#REF!</definedName>
    <definedName name="단가조사표">#REF!</definedName>
    <definedName name="ㅁ">#REF!</definedName>
    <definedName name="ㅁ1">#REF!</definedName>
    <definedName name="ㅁ2">[4]경산!#REF!</definedName>
    <definedName name="ㅁ331">#REF!</definedName>
    <definedName name="ㅁ60">[5]직노!#REF!</definedName>
    <definedName name="ㅁㅁ">#REF!</definedName>
    <definedName name="ㅂ">#REF!</definedName>
    <definedName name="ㅂㅂ">#REF!</definedName>
    <definedName name="배관">[6]제작비추산총괄표!#REF!</definedName>
    <definedName name="배관재">#REF!</definedName>
    <definedName name="배노">[6]제작비추산총괄표!#REF!</definedName>
    <definedName name="배재">[3]재료비!#REF!</definedName>
    <definedName name="보노">[6]제작비추산총괄표!#REF!</definedName>
    <definedName name="보온">[6]제작비추산총괄표!#REF!</definedName>
    <definedName name="보재">[6]제작비추산총괄표!#REF!</definedName>
    <definedName name="ㅅㄱㄷㅈㄷㄱㄷㄱ">#REF!</definedName>
    <definedName name="사인일위">#REF!</definedName>
    <definedName name="산재보험료">[6]제작비추산총괄표!#REF!</definedName>
    <definedName name="ㅇ">#REF!</definedName>
    <definedName name="ㅇㅇㅇ">[3]재료비!#REF!</definedName>
    <definedName name="운반">[7]재료비!#REF!</definedName>
    <definedName name="이상">#REF!</definedName>
    <definedName name="이윤">[7]재료비!#REF!</definedName>
    <definedName name="일관">[7]재료비!#REF!</definedName>
    <definedName name="일의01">[5]직노!#REF!</definedName>
    <definedName name="재료비">#REF!</definedName>
    <definedName name="전기재">#REF!</definedName>
    <definedName name="전재">[3]재료비!#REF!</definedName>
    <definedName name="직노">[3]노무비!$F$29</definedName>
    <definedName name="직재">[3]재료비!$I$2</definedName>
    <definedName name="직접노무비">#REF!</definedName>
    <definedName name="직접재료비">#REF!</definedName>
    <definedName name="철노">[6]제작비추산총괄표!#REF!</definedName>
    <definedName name="철재">[3]재료비!#REF!</definedName>
    <definedName name="청마총괄">[8]직노!#REF!</definedName>
    <definedName name="총괄표">[8]직노!#REF!</definedName>
    <definedName name="총합계">[7]갑!#REF!</definedName>
    <definedName name="ㅋ">#REF!</definedName>
    <definedName name="ㅎ314">#REF!</definedName>
    <definedName name="ㅎㅎ">#REF!</definedName>
    <definedName name="ㅎㅎㅎㅎ">#REF!</definedName>
    <definedName name="ㅎㅎㅎㅎㅎㅎ">#REF!</definedName>
    <definedName name="ㅎㅎㅎㅎㅎㅎㅎㅎㅎㅎㅎㅎㅎ">#REF!</definedName>
    <definedName name="합계">#REF!</definedName>
    <definedName name="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2" l="1"/>
  <c r="H13" i="12"/>
  <c r="H12" i="12"/>
  <c r="H11" i="12"/>
  <c r="H10" i="12"/>
  <c r="H9" i="12"/>
  <c r="H8" i="12"/>
  <c r="H7" i="12"/>
  <c r="H21" i="12"/>
  <c r="H24" i="12" l="1"/>
  <c r="H27" i="12" l="1"/>
  <c r="H30" i="12" s="1"/>
</calcChain>
</file>

<file path=xl/sharedStrings.xml><?xml version="1.0" encoding="utf-8"?>
<sst xmlns="http://schemas.openxmlformats.org/spreadsheetml/2006/main" count="92" uniqueCount="74">
  <si>
    <t>세 부 견 적 서</t>
    <phoneticPr fontId="4" type="noConversion"/>
  </si>
  <si>
    <t>○ 회사명 :</t>
    <phoneticPr fontId="4" type="noConversion"/>
  </si>
  <si>
    <t>○ 입찰건명 :</t>
    <phoneticPr fontId="4" type="noConversion"/>
  </si>
  <si>
    <t>구 분</t>
    <phoneticPr fontId="4" type="noConversion"/>
  </si>
  <si>
    <t>품명</t>
    <phoneticPr fontId="4" type="noConversion"/>
  </si>
  <si>
    <t>규격 및 사양</t>
    <phoneticPr fontId="4" type="noConversion"/>
  </si>
  <si>
    <t>단위</t>
    <phoneticPr fontId="4" type="noConversion"/>
  </si>
  <si>
    <t>수량</t>
    <phoneticPr fontId="4" type="noConversion"/>
  </si>
  <si>
    <t>단가 (원)</t>
    <phoneticPr fontId="4" type="noConversion"/>
  </si>
  <si>
    <t>금액 (원)</t>
    <phoneticPr fontId="4" type="noConversion"/>
  </si>
  <si>
    <t>비  고</t>
    <phoneticPr fontId="4" type="noConversion"/>
  </si>
  <si>
    <t xml:space="preserve"> .</t>
    <phoneticPr fontId="4" type="noConversion"/>
  </si>
  <si>
    <t>.</t>
    <phoneticPr fontId="4" type="noConversion"/>
  </si>
  <si>
    <t>M/D</t>
    <phoneticPr fontId="4" type="noConversion"/>
  </si>
  <si>
    <t xml:space="preserve"> 2-3. ○○○</t>
    <phoneticPr fontId="4" type="noConversion"/>
  </si>
  <si>
    <t>(노무비 계)</t>
    <phoneticPr fontId="4" type="noConversion"/>
  </si>
  <si>
    <t>총계</t>
    <phoneticPr fontId="4" type="noConversion"/>
  </si>
  <si>
    <t>-</t>
    <phoneticPr fontId="4" type="noConversion"/>
  </si>
  <si>
    <t xml:space="preserve"> 만원 이하 절사</t>
    <phoneticPr fontId="4" type="noConversion"/>
  </si>
  <si>
    <t xml:space="preserve"> 1. 직접인건비</t>
    <phoneticPr fontId="4" type="noConversion"/>
  </si>
  <si>
    <t>(직접인건비 계)</t>
    <phoneticPr fontId="4" type="noConversion"/>
  </si>
  <si>
    <t xml:space="preserve"> 2. 직접경비</t>
    <phoneticPr fontId="4" type="noConversion"/>
  </si>
  <si>
    <t xml:space="preserve"> 2-1. 출장비</t>
    <phoneticPr fontId="4" type="noConversion"/>
  </si>
  <si>
    <t>식</t>
    <phoneticPr fontId="4" type="noConversion"/>
  </si>
  <si>
    <t xml:space="preserve"> ○ 직접경비가 있을시 상세히 작성 (출장인원 및 일수 등)</t>
    <phoneticPr fontId="4" type="noConversion"/>
  </si>
  <si>
    <t xml:space="preserve"> 2-2. 시운전</t>
    <phoneticPr fontId="4" type="noConversion"/>
  </si>
  <si>
    <t xml:space="preserve"> ○ 외주공급품(S/W 등) 사양 상세 작성 및 증빙 제출</t>
    <phoneticPr fontId="4" type="noConversion"/>
  </si>
  <si>
    <t xml:space="preserve"> 3. 제경비</t>
    <phoneticPr fontId="4" type="noConversion"/>
  </si>
  <si>
    <t xml:space="preserve"> 4. 기술료</t>
    <phoneticPr fontId="4" type="noConversion"/>
  </si>
  <si>
    <t>⑤ IT PM</t>
    <phoneticPr fontId="4" type="noConversion"/>
  </si>
  <si>
    <t>⑥ IT아키텍트</t>
    <phoneticPr fontId="4" type="noConversion"/>
  </si>
  <si>
    <t>⑧ UI/UX디자이너</t>
    <phoneticPr fontId="4" type="noConversion"/>
  </si>
  <si>
    <t>⑨ 응용SW개발자</t>
    <phoneticPr fontId="4" type="noConversion"/>
  </si>
  <si>
    <t>⑤ IT PM</t>
  </si>
  <si>
    <t>⑥ IT아키텍트</t>
  </si>
  <si>
    <t>⑧ UI/UX디자이너</t>
  </si>
  <si>
    <t>⑨ 응용SW개발자</t>
  </si>
  <si>
    <t>( 1 )명 x ( 15 )일</t>
    <phoneticPr fontId="4" type="noConversion"/>
  </si>
  <si>
    <t>■ 한국소프트웨어산업협회 공표</t>
    <phoneticPr fontId="4" type="noConversion"/>
  </si>
  <si>
    <t>(단위 : 원)</t>
    <phoneticPr fontId="4" type="noConversion"/>
  </si>
  <si>
    <t>구 분</t>
  </si>
  <si>
    <t>월평균 임금(M/M)</t>
    <phoneticPr fontId="4" type="noConversion"/>
  </si>
  <si>
    <t>일평균 임금(M/D)</t>
    <phoneticPr fontId="4" type="noConversion"/>
  </si>
  <si>
    <t>시간평균 임금(M/H)</t>
    <phoneticPr fontId="4" type="noConversion"/>
  </si>
  <si>
    <t>① IT기획자</t>
    <phoneticPr fontId="4" type="noConversion"/>
  </si>
  <si>
    <t>② IT컨설턴트</t>
  </si>
  <si>
    <t>③ 업무분석가</t>
  </si>
  <si>
    <t>④ 데이터분석가</t>
  </si>
  <si>
    <t>⑩ 시스템SW개발자</t>
  </si>
  <si>
    <t>⑪ 정보시스템운용자</t>
  </si>
  <si>
    <t>⑫ IT지원기술자</t>
  </si>
  <si>
    <t>⑬ IT마케터</t>
  </si>
  <si>
    <t>⑭ IT품질관리자</t>
  </si>
  <si>
    <t>⑮ IT테스터</t>
  </si>
  <si>
    <t>⑯ IT감리</t>
  </si>
  <si>
    <t>⑰ 정보보안전문가</t>
  </si>
  <si>
    <r>
      <t xml:space="preserve">* </t>
    </r>
    <r>
      <rPr>
        <sz val="10"/>
        <color indexed="12"/>
        <rFont val="맑은 고딕"/>
        <family val="3"/>
        <charset val="129"/>
      </rPr>
      <t>SW기술자 평균임금은 기본급, 제수당, 상여금, 퇴직급여충당금, 법인부담금을 모두 포함</t>
    </r>
    <r>
      <rPr>
        <sz val="10"/>
        <color indexed="8"/>
        <rFont val="맑은 고딕"/>
        <family val="3"/>
        <charset val="129"/>
      </rPr>
      <t>한 결과임
* 일평균임금은 월평균÷근무일수(20.6일), 시간평균임금은 일평균÷8시간으로 각각 산정함</t>
    </r>
    <phoneticPr fontId="4" type="noConversion"/>
  </si>
  <si>
    <t xml:space="preserve"> ○ 제경비 = 직접인건비의 ( 110 )%</t>
    <phoneticPr fontId="4" type="noConversion"/>
  </si>
  <si>
    <t xml:space="preserve"> ○ 기술료=(직접인건비+제경비) x ( 20  )%</t>
    <phoneticPr fontId="4" type="noConversion"/>
  </si>
  <si>
    <t xml:space="preserve"> (1) X 110 %</t>
    <phoneticPr fontId="4" type="noConversion"/>
  </si>
  <si>
    <t xml:space="preserve"> (1+3) X 20%</t>
    <phoneticPr fontId="4" type="noConversion"/>
  </si>
  <si>
    <t>⑦ UI/UX기획/개발자</t>
    <phoneticPr fontId="4" type="noConversion"/>
  </si>
  <si>
    <t>( 1 )명 x ( 10 )일</t>
    <phoneticPr fontId="4" type="noConversion"/>
  </si>
  <si>
    <t>2026년 적용 SW기술자 평균 임금 공표</t>
    <phoneticPr fontId="4" type="noConversion"/>
  </si>
  <si>
    <t>( 1 )명 x ( 5 )일</t>
    <phoneticPr fontId="4" type="noConversion"/>
  </si>
  <si>
    <t>AI 프로젝트 총괄</t>
    <phoneticPr fontId="4" type="noConversion"/>
  </si>
  <si>
    <t>AI 플랫폼 설계</t>
    <phoneticPr fontId="4" type="noConversion"/>
  </si>
  <si>
    <t>UI 디자인</t>
    <phoneticPr fontId="4" type="noConversion"/>
  </si>
  <si>
    <t xml:space="preserve">데이터 분석 / AI 모델 연구 </t>
    <phoneticPr fontId="4" type="noConversion"/>
  </si>
  <si>
    <t>( 1 )명 x ( 20 )일</t>
    <phoneticPr fontId="4" type="noConversion"/>
  </si>
  <si>
    <t>AI 모델구현</t>
    <phoneticPr fontId="4" type="noConversion"/>
  </si>
  <si>
    <t>Android App 개발</t>
    <phoneticPr fontId="4" type="noConversion"/>
  </si>
  <si>
    <t>Edge서버 구축</t>
    <phoneticPr fontId="4" type="noConversion"/>
  </si>
  <si>
    <t>시 스 템 구 성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</si>
</sst>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;[Red]\-#,##0\ "/>
    <numFmt numFmtId="177" formatCode="_(* #,##0_);_(* \(#,##0\);_(* &quot;-&quot;_);_(@_)"/>
  </numFmts>
  <fonts count="5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돋움체"/>
      <family val="3"/>
      <charset val="129"/>
    </font>
    <font>
      <b/>
      <sz val="13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u/>
      <sz val="16"/>
      <name val="맑은 고딕"/>
      <family val="3"/>
      <charset val="129"/>
    </font>
    <font>
      <sz val="16"/>
      <name val="맑은 고딕"/>
      <family val="3"/>
      <charset val="129"/>
    </font>
    <font>
      <b/>
      <sz val="28"/>
      <name val="맑은 고딕"/>
      <family val="3"/>
      <charset val="129"/>
    </font>
    <font>
      <sz val="28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2"/>
      <name val="바탕체"/>
      <family val="1"/>
      <charset val="129"/>
    </font>
    <font>
      <sz val="11"/>
      <name val="HY중고딕"/>
      <family val="1"/>
      <charset val="129"/>
    </font>
    <font>
      <u/>
      <sz val="11"/>
      <color indexed="12"/>
      <name val="돋움"/>
      <family val="3"/>
      <charset val="129"/>
    </font>
    <font>
      <sz val="11"/>
      <name val="굴림"/>
      <family val="3"/>
      <charset val="129"/>
    </font>
    <font>
      <sz val="10"/>
      <color rgb="FF000000"/>
      <name val="굴림"/>
      <family val="3"/>
      <charset val="129"/>
    </font>
    <font>
      <shadow/>
      <u/>
      <sz val="17"/>
      <color rgb="FF000000"/>
      <name val="HY헤드라인M"/>
      <family val="1"/>
      <charset val="129"/>
    </font>
    <font>
      <sz val="9"/>
      <name val="돋움"/>
      <family val="3"/>
      <charset val="129"/>
    </font>
    <font>
      <b/>
      <sz val="10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6">
    <xf numFmtId="0" fontId="0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42" fontId="5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1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0" borderId="0"/>
    <xf numFmtId="0" fontId="39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84">
    <xf numFmtId="0" fontId="0" fillId="0" borderId="0" xfId="0"/>
    <xf numFmtId="0" fontId="7" fillId="0" borderId="0" xfId="0" applyFont="1" applyAlignment="1">
      <alignment vertical="center"/>
    </xf>
    <xf numFmtId="0" fontId="27" fillId="0" borderId="0" xfId="0" applyFont="1" applyAlignment="1">
      <alignment vertical="center" shrinkToFit="1"/>
    </xf>
    <xf numFmtId="49" fontId="30" fillId="0" borderId="0" xfId="0" applyNumberFormat="1" applyFont="1" applyAlignment="1">
      <alignment horizontal="center" vertical="center" shrinkToFit="1"/>
    </xf>
    <xf numFmtId="0" fontId="30" fillId="0" borderId="0" xfId="0" applyFont="1" applyAlignment="1">
      <alignment horizontal="left" vertical="center" shrinkToFit="1"/>
    </xf>
    <xf numFmtId="0" fontId="30" fillId="0" borderId="0" xfId="0" applyFont="1" applyAlignment="1">
      <alignment horizontal="center" vertical="center" shrinkToFit="1"/>
    </xf>
    <xf numFmtId="176" fontId="30" fillId="0" borderId="0" xfId="0" applyNumberFormat="1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 shrinkToFit="1"/>
    </xf>
    <xf numFmtId="49" fontId="27" fillId="0" borderId="0" xfId="0" applyNumberFormat="1" applyFont="1" applyAlignment="1">
      <alignment horizontal="left" vertical="center" shrinkToFit="1"/>
    </xf>
    <xf numFmtId="49" fontId="32" fillId="0" borderId="0" xfId="0" applyNumberFormat="1" applyFont="1" applyAlignment="1">
      <alignment horizontal="left" vertical="center" shrinkToFit="1"/>
    </xf>
    <xf numFmtId="49" fontId="32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left" vertical="center" shrinkToFit="1"/>
    </xf>
    <xf numFmtId="0" fontId="33" fillId="0" borderId="0" xfId="0" applyFont="1" applyAlignment="1">
      <alignment horizontal="center" vertical="center" shrinkToFit="1"/>
    </xf>
    <xf numFmtId="0" fontId="34" fillId="0" borderId="0" xfId="0" applyFont="1" applyAlignment="1">
      <alignment vertical="center" shrinkToFit="1"/>
    </xf>
    <xf numFmtId="176" fontId="34" fillId="0" borderId="0" xfId="0" applyNumberFormat="1" applyFont="1" applyAlignment="1">
      <alignment horizontal="center" vertical="center" shrinkToFit="1"/>
    </xf>
    <xf numFmtId="176" fontId="34" fillId="0" borderId="0" xfId="0" applyNumberFormat="1" applyFont="1" applyAlignment="1">
      <alignment vertical="center" shrinkToFit="1"/>
    </xf>
    <xf numFmtId="49" fontId="26" fillId="0" borderId="2" xfId="0" applyNumberFormat="1" applyFont="1" applyBorder="1" applyAlignment="1">
      <alignment horizontal="left" vertical="center" shrinkToFit="1"/>
    </xf>
    <xf numFmtId="0" fontId="5" fillId="0" borderId="3" xfId="0" applyFont="1" applyBorder="1" applyAlignment="1">
      <alignment horizontal="left" vertical="center" shrinkToFit="1"/>
    </xf>
    <xf numFmtId="0" fontId="5" fillId="0" borderId="3" xfId="0" applyFont="1" applyBorder="1" applyAlignment="1">
      <alignment horizontal="center" vertical="center" shrinkToFit="1"/>
    </xf>
    <xf numFmtId="0" fontId="36" fillId="0" borderId="3" xfId="0" applyFont="1" applyBorder="1" applyAlignment="1">
      <alignment horizontal="center" vertical="center" shrinkToFit="1"/>
    </xf>
    <xf numFmtId="176" fontId="36" fillId="0" borderId="3" xfId="66" applyNumberFormat="1" applyFont="1" applyBorder="1" applyAlignment="1">
      <alignment horizontal="center" vertical="center" shrinkToFit="1"/>
    </xf>
    <xf numFmtId="176" fontId="36" fillId="0" borderId="3" xfId="66" applyNumberFormat="1" applyFont="1" applyBorder="1" applyAlignment="1">
      <alignment vertical="center" shrinkToFit="1"/>
    </xf>
    <xf numFmtId="49" fontId="27" fillId="0" borderId="3" xfId="0" applyNumberFormat="1" applyFont="1" applyBorder="1" applyAlignment="1">
      <alignment horizontal="left" vertical="center" shrinkToFit="1"/>
    </xf>
    <xf numFmtId="49" fontId="26" fillId="0" borderId="3" xfId="0" applyNumberFormat="1" applyFont="1" applyBorder="1" applyAlignment="1">
      <alignment horizontal="left" vertical="center" shrinkToFit="1"/>
    </xf>
    <xf numFmtId="49" fontId="5" fillId="0" borderId="3" xfId="0" applyNumberFormat="1" applyFont="1" applyBorder="1" applyAlignment="1">
      <alignment horizontal="left" vertical="center" indent="1" shrinkToFit="1"/>
    </xf>
    <xf numFmtId="0" fontId="32" fillId="0" borderId="0" xfId="0" applyFont="1" applyAlignment="1">
      <alignment vertical="center" shrinkToFit="1"/>
    </xf>
    <xf numFmtId="0" fontId="37" fillId="34" borderId="3" xfId="0" applyFont="1" applyFill="1" applyBorder="1" applyAlignment="1">
      <alignment horizontal="center" vertical="center" shrinkToFit="1"/>
    </xf>
    <xf numFmtId="0" fontId="26" fillId="34" borderId="3" xfId="0" applyFont="1" applyFill="1" applyBorder="1" applyAlignment="1">
      <alignment horizontal="center" vertical="center" shrinkToFit="1"/>
    </xf>
    <xf numFmtId="176" fontId="26" fillId="34" borderId="3" xfId="66" applyNumberFormat="1" applyFont="1" applyFill="1" applyBorder="1" applyAlignment="1">
      <alignment horizontal="center" vertical="center" shrinkToFit="1"/>
    </xf>
    <xf numFmtId="176" fontId="26" fillId="34" borderId="3" xfId="66" applyNumberFormat="1" applyFont="1" applyFill="1" applyBorder="1" applyAlignment="1">
      <alignment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0" fontId="37" fillId="0" borderId="3" xfId="0" applyFont="1" applyBorder="1" applyAlignment="1">
      <alignment horizontal="center" vertical="center" shrinkToFit="1"/>
    </xf>
    <xf numFmtId="0" fontId="26" fillId="0" borderId="3" xfId="0" applyFont="1" applyBorder="1" applyAlignment="1">
      <alignment horizontal="center" vertical="center" shrinkToFit="1"/>
    </xf>
    <xf numFmtId="176" fontId="26" fillId="0" borderId="3" xfId="66" applyNumberFormat="1" applyFont="1" applyBorder="1" applyAlignment="1">
      <alignment horizontal="center" vertical="center" shrinkToFit="1"/>
    </xf>
    <xf numFmtId="176" fontId="26" fillId="0" borderId="3" xfId="66" applyNumberFormat="1" applyFont="1" applyBorder="1" applyAlignment="1">
      <alignment vertical="center" shrinkToFit="1"/>
    </xf>
    <xf numFmtId="0" fontId="36" fillId="0" borderId="0" xfId="0" applyFont="1" applyAlignment="1">
      <alignment vertical="center" shrinkToFit="1"/>
    </xf>
    <xf numFmtId="49" fontId="36" fillId="0" borderId="3" xfId="0" applyNumberFormat="1" applyFont="1" applyBorder="1" applyAlignment="1">
      <alignment horizontal="left" vertical="center" shrinkToFit="1"/>
    </xf>
    <xf numFmtId="0" fontId="36" fillId="0" borderId="3" xfId="0" applyFont="1" applyBorder="1" applyAlignment="1">
      <alignment horizontal="left" vertical="center" shrinkToFit="1"/>
    </xf>
    <xf numFmtId="0" fontId="36" fillId="0" borderId="3" xfId="0" applyFont="1" applyBorder="1" applyAlignment="1">
      <alignment vertical="center" shrinkToFit="1"/>
    </xf>
    <xf numFmtId="176" fontId="26" fillId="0" borderId="3" xfId="0" applyNumberFormat="1" applyFont="1" applyBorder="1" applyAlignment="1">
      <alignment horizontal="center" vertical="center" shrinkToFit="1"/>
    </xf>
    <xf numFmtId="176" fontId="26" fillId="0" borderId="3" xfId="0" applyNumberFormat="1" applyFont="1" applyBorder="1" applyAlignment="1">
      <alignment vertical="center" shrinkToFit="1"/>
    </xf>
    <xf numFmtId="176" fontId="36" fillId="0" borderId="3" xfId="66" applyNumberFormat="1" applyFont="1" applyBorder="1" applyAlignment="1">
      <alignment horizontal="right" vertical="center" shrinkToFit="1"/>
    </xf>
    <xf numFmtId="49" fontId="27" fillId="0" borderId="3" xfId="0" applyNumberFormat="1" applyFont="1" applyBorder="1" applyAlignment="1">
      <alignment vertical="center" shrinkToFit="1"/>
    </xf>
    <xf numFmtId="49" fontId="38" fillId="0" borderId="3" xfId="0" applyNumberFormat="1" applyFont="1" applyBorder="1" applyAlignment="1">
      <alignment vertical="center" shrinkToFit="1"/>
    </xf>
    <xf numFmtId="49" fontId="26" fillId="0" borderId="3" xfId="66" applyNumberFormat="1" applyFont="1" applyBorder="1" applyAlignment="1">
      <alignment horizontal="left" vertical="center" shrinkToFit="1"/>
    </xf>
    <xf numFmtId="0" fontId="26" fillId="0" borderId="3" xfId="0" applyFont="1" applyBorder="1" applyAlignment="1">
      <alignment horizontal="left" vertical="center" shrinkToFit="1"/>
    </xf>
    <xf numFmtId="49" fontId="32" fillId="33" borderId="1" xfId="0" applyNumberFormat="1" applyFont="1" applyFill="1" applyBorder="1" applyAlignment="1">
      <alignment horizontal="center" vertical="center" shrinkToFit="1"/>
    </xf>
    <xf numFmtId="0" fontId="32" fillId="33" borderId="1" xfId="0" applyFont="1" applyFill="1" applyBorder="1" applyAlignment="1">
      <alignment horizontal="center" vertical="center" shrinkToFit="1"/>
    </xf>
    <xf numFmtId="176" fontId="25" fillId="33" borderId="1" xfId="66" applyNumberFormat="1" applyFont="1" applyFill="1" applyBorder="1" applyAlignment="1">
      <alignment horizontal="center" vertical="center" shrinkToFit="1"/>
    </xf>
    <xf numFmtId="176" fontId="25" fillId="33" borderId="1" xfId="66" applyNumberFormat="1" applyFont="1" applyFill="1" applyBorder="1" applyAlignment="1">
      <alignment horizontal="right" vertical="center" shrinkToFit="1"/>
    </xf>
    <xf numFmtId="49" fontId="26" fillId="33" borderId="1" xfId="66" applyNumberFormat="1" applyFont="1" applyFill="1" applyBorder="1" applyAlignment="1">
      <alignment horizontal="left" vertical="center" shrinkToFit="1"/>
    </xf>
    <xf numFmtId="49" fontId="36" fillId="0" borderId="0" xfId="0" applyNumberFormat="1" applyFont="1" applyAlignment="1">
      <alignment horizontal="left" vertical="center" shrinkToFit="1"/>
    </xf>
    <xf numFmtId="49" fontId="36" fillId="0" borderId="0" xfId="0" applyNumberFormat="1" applyFont="1" applyAlignment="1">
      <alignment vertical="center" shrinkToFit="1"/>
    </xf>
    <xf numFmtId="0" fontId="36" fillId="0" borderId="0" xfId="0" applyFont="1" applyAlignment="1">
      <alignment horizontal="left" vertical="center" shrinkToFit="1"/>
    </xf>
    <xf numFmtId="0" fontId="36" fillId="0" borderId="0" xfId="0" applyFont="1" applyAlignment="1">
      <alignment horizontal="center" vertical="center" shrinkToFit="1"/>
    </xf>
    <xf numFmtId="176" fontId="36" fillId="0" borderId="0" xfId="0" applyNumberFormat="1" applyFont="1" applyAlignment="1">
      <alignment horizontal="center" vertical="center" shrinkToFit="1"/>
    </xf>
    <xf numFmtId="176" fontId="36" fillId="0" borderId="0" xfId="0" applyNumberFormat="1" applyFont="1" applyAlignment="1">
      <alignment vertical="center" shrinkToFit="1"/>
    </xf>
    <xf numFmtId="0" fontId="5" fillId="35" borderId="3" xfId="0" applyFont="1" applyFill="1" applyBorder="1" applyAlignment="1">
      <alignment horizontal="left" vertical="center" shrinkToFit="1"/>
    </xf>
    <xf numFmtId="0" fontId="5" fillId="35" borderId="3" xfId="0" applyFont="1" applyFill="1" applyBorder="1" applyAlignment="1">
      <alignment horizontal="center" vertical="center" shrinkToFit="1"/>
    </xf>
    <xf numFmtId="0" fontId="36" fillId="35" borderId="3" xfId="0" applyFont="1" applyFill="1" applyBorder="1" applyAlignment="1">
      <alignment horizontal="center" vertical="center" shrinkToFit="1"/>
    </xf>
    <xf numFmtId="176" fontId="36" fillId="35" borderId="3" xfId="66" applyNumberFormat="1" applyFont="1" applyFill="1" applyBorder="1" applyAlignment="1">
      <alignment horizontal="center" vertical="center" shrinkToFit="1"/>
    </xf>
    <xf numFmtId="0" fontId="40" fillId="0" borderId="0" xfId="0" applyFont="1"/>
    <xf numFmtId="3" fontId="42" fillId="0" borderId="0" xfId="73" applyNumberFormat="1" applyFont="1" applyAlignment="1">
      <alignment horizontal="center" vertical="center"/>
    </xf>
    <xf numFmtId="3" fontId="42" fillId="0" borderId="0" xfId="73" applyNumberFormat="1" applyFont="1" applyAlignment="1">
      <alignment vertical="center"/>
    </xf>
    <xf numFmtId="0" fontId="45" fillId="0" borderId="0" xfId="0" applyFont="1" applyAlignment="1">
      <alignment horizontal="right" vertical="center"/>
    </xf>
    <xf numFmtId="0" fontId="46" fillId="36" borderId="14" xfId="0" applyFont="1" applyFill="1" applyBorder="1" applyAlignment="1">
      <alignment horizontal="center" vertical="center" wrapText="1"/>
    </xf>
    <xf numFmtId="0" fontId="43" fillId="0" borderId="14" xfId="0" applyFont="1" applyBorder="1" applyAlignment="1">
      <alignment horizontal="left" vertical="center" wrapText="1"/>
    </xf>
    <xf numFmtId="3" fontId="47" fillId="0" borderId="14" xfId="75" applyNumberFormat="1" applyFont="1" applyBorder="1" applyAlignment="1">
      <alignment horizontal="right" vertical="center" wrapText="1" indent="2"/>
    </xf>
    <xf numFmtId="0" fontId="26" fillId="0" borderId="4" xfId="0" applyFont="1" applyBorder="1" applyAlignment="1">
      <alignment vertical="center"/>
    </xf>
    <xf numFmtId="0" fontId="36" fillId="0" borderId="4" xfId="0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49" fontId="32" fillId="33" borderId="1" xfId="0" applyNumberFormat="1" applyFont="1" applyFill="1" applyBorder="1" applyAlignment="1">
      <alignment horizontal="center" vertical="center" shrinkToFit="1"/>
    </xf>
    <xf numFmtId="0" fontId="35" fillId="33" borderId="1" xfId="0" applyFont="1" applyFill="1" applyBorder="1" applyAlignment="1">
      <alignment horizontal="center" vertical="center"/>
    </xf>
    <xf numFmtId="0" fontId="32" fillId="33" borderId="1" xfId="0" applyFont="1" applyFill="1" applyBorder="1" applyAlignment="1">
      <alignment horizontal="center" vertical="center" shrinkToFit="1"/>
    </xf>
    <xf numFmtId="176" fontId="32" fillId="33" borderId="1" xfId="0" applyNumberFormat="1" applyFont="1" applyFill="1" applyBorder="1" applyAlignment="1">
      <alignment horizontal="center" vertical="center" shrinkToFit="1"/>
    </xf>
    <xf numFmtId="0" fontId="0" fillId="0" borderId="0" xfId="0"/>
    <xf numFmtId="0" fontId="4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8" fillId="0" borderId="15" xfId="75" applyFont="1" applyBorder="1" applyAlignment="1">
      <alignment horizontal="left" vertical="center" wrapText="1"/>
    </xf>
    <xf numFmtId="0" fontId="48" fillId="0" borderId="16" xfId="75" applyFont="1" applyBorder="1" applyAlignment="1">
      <alignment horizontal="left" vertical="center" wrapText="1"/>
    </xf>
    <xf numFmtId="0" fontId="48" fillId="0" borderId="17" xfId="75" applyFont="1" applyBorder="1" applyAlignment="1">
      <alignment horizontal="left" vertical="center" wrapText="1"/>
    </xf>
    <xf numFmtId="49" fontId="51" fillId="35" borderId="3" xfId="0" applyNumberFormat="1" applyFont="1" applyFill="1" applyBorder="1" applyAlignment="1">
      <alignment horizontal="left" vertical="center" shrinkToFit="1"/>
    </xf>
    <xf numFmtId="0" fontId="26" fillId="0" borderId="0" xfId="0" applyFont="1" applyAlignment="1">
      <alignment horizontal="center" vertical="center"/>
    </xf>
  </cellXfs>
  <cellStyles count="76">
    <cellStyle name="20% - 강조색1" xfId="24" builtinId="30" customBuiltin="1"/>
    <cellStyle name="20% - 강조색1 2" xfId="54" xr:uid="{00000000-0005-0000-0000-000001000000}"/>
    <cellStyle name="20% - 강조색2" xfId="28" builtinId="34" customBuiltin="1"/>
    <cellStyle name="20% - 강조색2 2" xfId="56" xr:uid="{00000000-0005-0000-0000-000003000000}"/>
    <cellStyle name="20% - 강조색3" xfId="32" builtinId="38" customBuiltin="1"/>
    <cellStyle name="20% - 강조색3 2" xfId="58" xr:uid="{00000000-0005-0000-0000-000005000000}"/>
    <cellStyle name="20% - 강조색4" xfId="36" builtinId="42" customBuiltin="1"/>
    <cellStyle name="20% - 강조색4 2" xfId="60" xr:uid="{00000000-0005-0000-0000-000007000000}"/>
    <cellStyle name="20% - 강조색5" xfId="40" builtinId="46" customBuiltin="1"/>
    <cellStyle name="20% - 강조색5 2" xfId="62" xr:uid="{00000000-0005-0000-0000-000009000000}"/>
    <cellStyle name="20% - 강조색6" xfId="44" builtinId="50" customBuiltin="1"/>
    <cellStyle name="20% - 강조색6 2" xfId="64" xr:uid="{00000000-0005-0000-0000-00000B000000}"/>
    <cellStyle name="40% - 강조색1" xfId="25" builtinId="31" customBuiltin="1"/>
    <cellStyle name="40% - 강조색1 2" xfId="55" xr:uid="{00000000-0005-0000-0000-00000D000000}"/>
    <cellStyle name="40% - 강조색2" xfId="29" builtinId="35" customBuiltin="1"/>
    <cellStyle name="40% - 강조색2 2" xfId="57" xr:uid="{00000000-0005-0000-0000-00000F000000}"/>
    <cellStyle name="40% - 강조색3" xfId="33" builtinId="39" customBuiltin="1"/>
    <cellStyle name="40% - 강조색3 2" xfId="59" xr:uid="{00000000-0005-0000-0000-000011000000}"/>
    <cellStyle name="40% - 강조색4" xfId="37" builtinId="43" customBuiltin="1"/>
    <cellStyle name="40% - 강조색4 2" xfId="61" xr:uid="{00000000-0005-0000-0000-000013000000}"/>
    <cellStyle name="40% - 강조색5" xfId="41" builtinId="47" customBuiltin="1"/>
    <cellStyle name="40% - 강조색5 2" xfId="63" xr:uid="{00000000-0005-0000-0000-000015000000}"/>
    <cellStyle name="40% - 강조색6" xfId="45" builtinId="51" customBuiltin="1"/>
    <cellStyle name="40% - 강조색6 2" xfId="65" xr:uid="{00000000-0005-0000-0000-000017000000}"/>
    <cellStyle name="60% - 강조색1" xfId="26" builtinId="32" customBuiltin="1"/>
    <cellStyle name="60% - 강조색2" xfId="30" builtinId="36" customBuiltin="1"/>
    <cellStyle name="60% - 강조색3" xfId="34" builtinId="40" customBuiltin="1"/>
    <cellStyle name="60% - 강조색4" xfId="38" builtinId="44" customBuiltin="1"/>
    <cellStyle name="60% - 강조색5" xfId="42" builtinId="48" customBuiltin="1"/>
    <cellStyle name="60% - 강조색6" xfId="46" builtinId="52" customBuiltin="1"/>
    <cellStyle name="강조색1" xfId="23" builtinId="29" customBuiltin="1"/>
    <cellStyle name="강조색2" xfId="27" builtinId="33" customBuiltin="1"/>
    <cellStyle name="강조색3" xfId="31" builtinId="37" customBuiltin="1"/>
    <cellStyle name="강조색4" xfId="35" builtinId="41" customBuiltin="1"/>
    <cellStyle name="강조색5" xfId="39" builtinId="45" customBuiltin="1"/>
    <cellStyle name="강조색6" xfId="43" builtinId="49" customBuiltin="1"/>
    <cellStyle name="경고문" xfId="20" builtinId="11" customBuiltin="1"/>
    <cellStyle name="계산" xfId="17" builtinId="22" customBuiltin="1"/>
    <cellStyle name="나쁨" xfId="13" builtinId="27" customBuiltin="1"/>
    <cellStyle name="메모 2" xfId="48" xr:uid="{00000000-0005-0000-0000-000027000000}"/>
    <cellStyle name="메모 3" xfId="53" xr:uid="{00000000-0005-0000-0000-000028000000}"/>
    <cellStyle name="보통" xfId="14" builtinId="28" customBuiltin="1"/>
    <cellStyle name="설명 텍스트" xfId="21" builtinId="53" customBuiltin="1"/>
    <cellStyle name="셀 확인" xfId="19" builtinId="23" customBuiltin="1"/>
    <cellStyle name="쉼표 [0] 16 2" xfId="71" xr:uid="{00000000-0005-0000-0000-00002C000000}"/>
    <cellStyle name="쉼표 [0] 2" xfId="66" xr:uid="{00000000-0005-0000-0000-00002D000000}"/>
    <cellStyle name="쉼표 [0] 2 2" xfId="69" xr:uid="{00000000-0005-0000-0000-00002E000000}"/>
    <cellStyle name="쉼표 [0] 2 2 7" xfId="70" xr:uid="{00000000-0005-0000-0000-00002F000000}"/>
    <cellStyle name="쉼표 [0] 2 8" xfId="68" xr:uid="{00000000-0005-0000-0000-000030000000}"/>
    <cellStyle name="쉼표 [0] 3" xfId="2" xr:uid="{00000000-0005-0000-0000-000031000000}"/>
    <cellStyle name="연결된 셀" xfId="18" builtinId="24" customBuiltin="1"/>
    <cellStyle name="요약" xfId="22" builtinId="25" customBuiltin="1"/>
    <cellStyle name="입력" xfId="15" builtinId="20" customBuiltin="1"/>
    <cellStyle name="제목" xfId="7" builtinId="15" customBuiltin="1"/>
    <cellStyle name="제목 1" xfId="8" builtinId="16" customBuiltin="1"/>
    <cellStyle name="제목 2" xfId="9" builtinId="17" customBuiltin="1"/>
    <cellStyle name="제목 3" xfId="10" builtinId="18" customBuiltin="1"/>
    <cellStyle name="제목 4" xfId="11" builtinId="19" customBuiltin="1"/>
    <cellStyle name="좋음" xfId="12" builtinId="26" customBuiltin="1"/>
    <cellStyle name="출력" xfId="16" builtinId="21" customBuiltin="1"/>
    <cellStyle name="통화 [0] 3" xfId="4" xr:uid="{00000000-0005-0000-0000-00003C000000}"/>
    <cellStyle name="표준" xfId="0" builtinId="0"/>
    <cellStyle name="표준 11" xfId="3" xr:uid="{00000000-0005-0000-0000-00003E000000}"/>
    <cellStyle name="표준 12" xfId="72" xr:uid="{00000000-0005-0000-0000-00003F000000}"/>
    <cellStyle name="표준 13 2 3" xfId="67" xr:uid="{00000000-0005-0000-0000-000040000000}"/>
    <cellStyle name="표준 2" xfId="47" xr:uid="{00000000-0005-0000-0000-000041000000}"/>
    <cellStyle name="표준 2 2" xfId="5" xr:uid="{00000000-0005-0000-0000-000042000000}"/>
    <cellStyle name="표준 2_수유동 노인복지 복합관 신축공사-(최종)수정" xfId="1" xr:uid="{00000000-0005-0000-0000-000043000000}"/>
    <cellStyle name="표준 3" xfId="49" xr:uid="{00000000-0005-0000-0000-000044000000}"/>
    <cellStyle name="표준 4" xfId="6" xr:uid="{00000000-0005-0000-0000-000045000000}"/>
    <cellStyle name="표준 5" xfId="51" xr:uid="{00000000-0005-0000-0000-000046000000}"/>
    <cellStyle name="표준 5 2" xfId="75" xr:uid="{C332D64A-F8F5-4A12-8CA4-85553398C1CF}"/>
    <cellStyle name="표준 6" xfId="52" xr:uid="{00000000-0005-0000-0000-000047000000}"/>
    <cellStyle name="표준 7" xfId="50" xr:uid="{00000000-0005-0000-0000-000048000000}"/>
    <cellStyle name="표준_발주서" xfId="73" xr:uid="{91128B5A-7E77-4D5F-973A-4FAED2A15AD0}"/>
    <cellStyle name="하이퍼링크 2" xfId="74" xr:uid="{84C11DA8-577E-4165-9967-9BF55CAF7221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28456</xdr:rowOff>
    </xdr:from>
    <xdr:to>
      <xdr:col>1</xdr:col>
      <xdr:colOff>0</xdr:colOff>
      <xdr:row>7</xdr:row>
      <xdr:rowOff>76081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138519B-B8C8-357B-3B1B-AD21AFC97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4551" y="1400056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7</xdr:col>
      <xdr:colOff>19050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3454C5F-1CFF-6FEB-1B2E-8DA9480D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6896100" cy="857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32</xdr:row>
      <xdr:rowOff>171450</xdr:rowOff>
    </xdr:from>
    <xdr:to>
      <xdr:col>8</xdr:col>
      <xdr:colOff>3438677</xdr:colOff>
      <xdr:row>51</xdr:row>
      <xdr:rowOff>152158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30E9C77-BA5B-4ED8-A72D-C90AD90EF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9315450"/>
          <a:ext cx="11877827" cy="54099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My%20Documents/&#45236;%20&#54028;&#51068;&#48149;&#49828;/My%20Documents.1/&#50696;&#44160;&#51652;&#54665;(02&#45380;)/&#50896;&#51088;&#47196;&#47784;&#54805;/&#45208;&#51032;&#54532;&#47196;&#51229;&#53944;/mydoc/2001MyDocu/&#44592;&#49696;/2000&#44592;&#53440;/2000&#54620;&#44397;&#50896;&#51088;&#47141;/RCU/&#44592;&#49696;/99&#44592;&#53440;/99&#54620;&#44397;&#50896;&#51088;&#47141;/&#51068;&#52404;&#54805;&#50976;&#46041;/EQ99-&#51068;&#52404;&#54805;&#50976;&#460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My%20Documents/&#45236;%20&#54028;&#51068;&#48149;&#49828;/My%20Documents.1/&#50696;&#44160;&#51652;&#54665;(02&#45380;)/&#50896;&#51088;&#47196;&#47784;&#54805;/&#45208;&#51032;&#54532;&#47196;&#51229;&#53944;/mydoc/2001MyDocu/&#44592;&#49696;/2000&#44592;&#53440;/2000&#54620;&#44397;&#50896;&#51088;&#47141;/poolcover/&#54616;&#45208;&#47196;&#45236;&#50669;&#494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mj\c\WINDOWS\EXCEL\KI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37;&#50500;&#47532;/KK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My%20Documents/&#45236;%20&#54028;&#51068;&#48149;&#49828;/My%20Documents.1/&#50696;&#44160;&#51652;&#54665;(02&#45380;)/&#50896;&#51088;&#47196;&#47784;&#54805;/&#45208;&#51032;&#54532;&#47196;&#51229;&#53944;/mydoc/2001MyDocu/&#44592;&#49696;/2000&#44592;&#53440;/2000&#54620;&#44397;&#50896;&#51088;&#47141;/RCU/&#44592;&#49696;/99&#44592;&#53440;/99&#54620;&#44397;&#50896;&#51088;&#47141;/&#51068;&#52404;&#54805;&#50976;&#46041;/&#44592;&#49696;/99&#44592;&#53440;/99&#54620;&#44397;&#50896;&#51088;&#47141;/&#51068;&#52404;&#54805;&#50976;&#46041;/EQ99-018-3CATALY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My%20Documents/&#45236;%20&#54028;&#51068;&#48149;&#49828;/My%20Documents.1/&#50696;&#44160;&#51652;&#54665;(02&#45380;)/&#50896;&#51088;&#47196;&#47784;&#54805;/&#45208;&#51032;&#54532;&#47196;&#51229;&#53944;/mydoc/2001MyDocu/&#44592;&#49696;/2000&#44592;&#53440;/2000&#54620;&#44397;&#50896;&#51088;&#47141;/RCU/&#44592;&#49696;/99&#44592;&#53440;/99&#54620;&#44397;&#50896;&#51088;&#47141;/&#51068;&#52404;&#54805;&#50976;&#46041;/&#44592;&#49696;/99&#44592;&#53440;/99&#54620;&#44397;&#50896;&#51088;&#47141;/&#51068;&#52404;&#54805;&#50976;&#46041;/EQ99-&#51068;&#52404;&#54805;&#50976;&#4604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"/>
      <sheetName val="총괄표"/>
      <sheetName val="재료비"/>
      <sheetName val="추산가 산출근거"/>
      <sheetName val="Module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정부노임단가"/>
      <sheetName val="2F 회의실견적(5_14 일대)"/>
      <sheetName val="을"/>
      <sheetName val="직노"/>
      <sheetName val="계화배수"/>
      <sheetName val="일위대가"/>
      <sheetName val="단면가정"/>
      <sheetName val="내역서"/>
      <sheetName val="LEGEND"/>
      <sheetName val="직공비"/>
      <sheetName val="I一般比"/>
      <sheetName val="1월"/>
      <sheetName val="96수출"/>
      <sheetName val="토공"/>
      <sheetName val="Y-WORK"/>
      <sheetName val="3.하중산정4.지지력"/>
      <sheetName val="공통가설"/>
      <sheetName val="INPUT(덕도방향-시점)"/>
      <sheetName val="SLAB&quot;1&quot;"/>
      <sheetName val="일위대가목차"/>
      <sheetName val="맨홀수량집계"/>
      <sheetName val="평가데이터"/>
      <sheetName val="품셈"/>
      <sheetName val="수량3"/>
      <sheetName val="토목내역"/>
      <sheetName val="차액보증"/>
      <sheetName val="투찰"/>
      <sheetName val="교각1"/>
      <sheetName val="3BL공동구 수량"/>
      <sheetName val="DATA"/>
      <sheetName val="일위대가표"/>
      <sheetName val="월선수금"/>
      <sheetName val="물량산출근거"/>
      <sheetName val="정보매체A동"/>
      <sheetName val="기본단가표"/>
      <sheetName val="20관리비율"/>
      <sheetName val="날개벽(시점좌측)"/>
      <sheetName val="code"/>
      <sheetName val="집계표"/>
      <sheetName val="일반물자(한국통신)"/>
      <sheetName val="JUCKEYK"/>
      <sheetName val="COPING"/>
      <sheetName val="교각계산"/>
      <sheetName val="기둥(원형)"/>
      <sheetName val="공사비명세서"/>
      <sheetName val="TABLE"/>
      <sheetName val="포장절단"/>
      <sheetName val="열린교실"/>
      <sheetName val="TB-내역서"/>
    </sheetNames>
    <sheetDataSet>
      <sheetData sheetId="0"/>
      <sheetData sheetId="1" refreshError="1">
        <row r="1">
          <cell r="A1" t="str">
            <v>코드</v>
          </cell>
          <cell r="D1" t="str">
            <v xml:space="preserve"> </v>
          </cell>
          <cell r="E1" t="str">
            <v xml:space="preserve"> </v>
          </cell>
          <cell r="G1" t="str">
            <v>단위당 소요인원</v>
          </cell>
        </row>
        <row r="2">
          <cell r="A2" t="str">
            <v>번호</v>
          </cell>
          <cell r="G2" t="str">
            <v>내선전공</v>
          </cell>
          <cell r="H2" t="str">
            <v>프랜트전공</v>
          </cell>
          <cell r="I2" t="str">
            <v>통신내선공</v>
          </cell>
          <cell r="J2" t="str">
            <v>통신CA공</v>
          </cell>
          <cell r="K2" t="str">
            <v>통신설비공</v>
          </cell>
          <cell r="L2" t="str">
            <v>배관공</v>
          </cell>
          <cell r="M2" t="str">
            <v>보통인부</v>
          </cell>
        </row>
        <row r="3">
          <cell r="A3" t="str">
            <v>d001</v>
          </cell>
          <cell r="B3">
            <v>1</v>
          </cell>
          <cell r="C3" t="str">
            <v>노 무 비</v>
          </cell>
          <cell r="D3" t="str">
            <v>특고압케이블전공</v>
          </cell>
          <cell r="E3" t="str">
            <v>인</v>
          </cell>
          <cell r="F3">
            <v>86408</v>
          </cell>
        </row>
        <row r="4">
          <cell r="A4" t="str">
            <v>d002</v>
          </cell>
          <cell r="B4">
            <v>2</v>
          </cell>
          <cell r="C4" t="str">
            <v>노 무 비</v>
          </cell>
          <cell r="D4" t="str">
            <v>기계공</v>
          </cell>
          <cell r="E4" t="str">
            <v>인</v>
          </cell>
          <cell r="F4">
            <v>58509</v>
          </cell>
        </row>
        <row r="5">
          <cell r="A5" t="str">
            <v>d003</v>
          </cell>
          <cell r="B5">
            <v>3</v>
          </cell>
          <cell r="C5" t="str">
            <v>노 무 비</v>
          </cell>
          <cell r="D5" t="str">
            <v>기계설치공</v>
          </cell>
          <cell r="E5" t="str">
            <v>인</v>
          </cell>
          <cell r="F5">
            <v>52520</v>
          </cell>
        </row>
        <row r="6">
          <cell r="A6" t="str">
            <v>d004</v>
          </cell>
          <cell r="B6">
            <v>4</v>
          </cell>
          <cell r="C6" t="str">
            <v>노 무 비</v>
          </cell>
          <cell r="D6" t="str">
            <v>내선전공</v>
          </cell>
          <cell r="E6" t="str">
            <v>인</v>
          </cell>
          <cell r="F6">
            <v>53181</v>
          </cell>
        </row>
        <row r="7">
          <cell r="A7" t="str">
            <v>d005</v>
          </cell>
          <cell r="B7">
            <v>5</v>
          </cell>
          <cell r="C7" t="str">
            <v>노 무 비</v>
          </cell>
          <cell r="D7" t="str">
            <v>목도</v>
          </cell>
          <cell r="E7" t="str">
            <v>인</v>
          </cell>
          <cell r="F7">
            <v>58119</v>
          </cell>
        </row>
        <row r="8">
          <cell r="A8" t="str">
            <v>d006</v>
          </cell>
          <cell r="B8">
            <v>6</v>
          </cell>
          <cell r="C8" t="str">
            <v>노 무 비</v>
          </cell>
          <cell r="D8" t="str">
            <v>무선안테나공</v>
          </cell>
          <cell r="E8" t="str">
            <v>인</v>
          </cell>
          <cell r="F8">
            <v>103707</v>
          </cell>
        </row>
        <row r="9">
          <cell r="A9" t="str">
            <v>d007</v>
          </cell>
          <cell r="B9">
            <v>7</v>
          </cell>
          <cell r="C9" t="str">
            <v>노 무 비</v>
          </cell>
          <cell r="D9" t="str">
            <v>배관공</v>
          </cell>
          <cell r="E9" t="str">
            <v>인</v>
          </cell>
          <cell r="F9">
            <v>53408</v>
          </cell>
        </row>
        <row r="10">
          <cell r="A10" t="str">
            <v>d008</v>
          </cell>
          <cell r="B10">
            <v>8</v>
          </cell>
          <cell r="C10" t="str">
            <v>노 무 비</v>
          </cell>
          <cell r="D10" t="str">
            <v>배전전공</v>
          </cell>
          <cell r="E10" t="str">
            <v>인</v>
          </cell>
          <cell r="F10">
            <v>176675</v>
          </cell>
        </row>
        <row r="11">
          <cell r="A11" t="str">
            <v>d009</v>
          </cell>
          <cell r="B11">
            <v>9</v>
          </cell>
          <cell r="C11" t="str">
            <v>노 무 비</v>
          </cell>
          <cell r="D11" t="str">
            <v>배전활선전공</v>
          </cell>
          <cell r="E11" t="str">
            <v>인</v>
          </cell>
          <cell r="F11">
            <v>202051</v>
          </cell>
        </row>
        <row r="12">
          <cell r="A12" t="str">
            <v>d010</v>
          </cell>
          <cell r="B12">
            <v>10</v>
          </cell>
          <cell r="C12" t="str">
            <v>노 무 비</v>
          </cell>
          <cell r="D12" t="str">
            <v>보일러공</v>
          </cell>
          <cell r="E12" t="str">
            <v>인</v>
          </cell>
          <cell r="F12">
            <v>53408</v>
          </cell>
        </row>
        <row r="13">
          <cell r="A13" t="str">
            <v>d011</v>
          </cell>
          <cell r="B13">
            <v>11</v>
          </cell>
          <cell r="C13" t="str">
            <v>노 무 비</v>
          </cell>
          <cell r="D13" t="str">
            <v>보통인부</v>
          </cell>
          <cell r="E13" t="str">
            <v>인</v>
          </cell>
          <cell r="F13">
            <v>34947</v>
          </cell>
        </row>
        <row r="14">
          <cell r="A14" t="str">
            <v>d012</v>
          </cell>
          <cell r="B14">
            <v>12</v>
          </cell>
          <cell r="C14" t="str">
            <v>노 무 비</v>
          </cell>
          <cell r="D14" t="str">
            <v>비계공</v>
          </cell>
          <cell r="E14" t="str">
            <v>인</v>
          </cell>
          <cell r="F14">
            <v>78568</v>
          </cell>
        </row>
        <row r="15">
          <cell r="A15" t="str">
            <v>d013</v>
          </cell>
          <cell r="B15">
            <v>13</v>
          </cell>
          <cell r="C15" t="str">
            <v>노 무 비</v>
          </cell>
          <cell r="D15" t="str">
            <v>송전전공</v>
          </cell>
          <cell r="E15" t="str">
            <v>인</v>
          </cell>
          <cell r="F15">
            <v>213858</v>
          </cell>
        </row>
        <row r="16">
          <cell r="A16" t="str">
            <v>d014</v>
          </cell>
          <cell r="B16">
            <v>14</v>
          </cell>
          <cell r="C16" t="str">
            <v>노 무 비</v>
          </cell>
          <cell r="D16" t="str">
            <v>철공</v>
          </cell>
          <cell r="E16" t="str">
            <v>인</v>
          </cell>
          <cell r="F16">
            <v>67900</v>
          </cell>
        </row>
        <row r="17">
          <cell r="A17" t="str">
            <v>d015</v>
          </cell>
          <cell r="B17">
            <v>15</v>
          </cell>
          <cell r="C17" t="str">
            <v>노 무 비</v>
          </cell>
          <cell r="D17" t="str">
            <v>안전관리기사 1급</v>
          </cell>
          <cell r="E17" t="str">
            <v>인</v>
          </cell>
          <cell r="F17">
            <v>42091</v>
          </cell>
        </row>
        <row r="18">
          <cell r="A18" t="str">
            <v>d016</v>
          </cell>
          <cell r="B18">
            <v>16</v>
          </cell>
          <cell r="C18" t="str">
            <v>노 무 비</v>
          </cell>
          <cell r="D18" t="str">
            <v>안전관리기사 2급</v>
          </cell>
          <cell r="E18" t="str">
            <v>인</v>
          </cell>
          <cell r="F18">
            <v>36222</v>
          </cell>
        </row>
        <row r="19">
          <cell r="A19" t="str">
            <v>d017</v>
          </cell>
          <cell r="B19">
            <v>17</v>
          </cell>
          <cell r="C19" t="str">
            <v>노 무 비</v>
          </cell>
          <cell r="D19" t="str">
            <v>용접공(일반)</v>
          </cell>
          <cell r="E19" t="str">
            <v>인</v>
          </cell>
          <cell r="F19">
            <v>65529</v>
          </cell>
        </row>
        <row r="20">
          <cell r="A20" t="str">
            <v>d018</v>
          </cell>
          <cell r="B20">
            <v>18</v>
          </cell>
          <cell r="C20" t="str">
            <v>노 무 비</v>
          </cell>
          <cell r="D20" t="str">
            <v>저압케이블전공</v>
          </cell>
          <cell r="E20" t="str">
            <v>인</v>
          </cell>
          <cell r="F20">
            <v>63007</v>
          </cell>
        </row>
        <row r="21">
          <cell r="A21" t="str">
            <v>d019</v>
          </cell>
          <cell r="B21">
            <v>19</v>
          </cell>
          <cell r="C21" t="str">
            <v>노 무 비</v>
          </cell>
          <cell r="D21" t="str">
            <v>전기공사 기사1급</v>
          </cell>
          <cell r="E21" t="str">
            <v>인</v>
          </cell>
          <cell r="F21">
            <v>65241</v>
          </cell>
        </row>
        <row r="22">
          <cell r="A22" t="str">
            <v>d020</v>
          </cell>
          <cell r="B22">
            <v>20</v>
          </cell>
          <cell r="C22" t="str">
            <v>노 무 비</v>
          </cell>
          <cell r="D22" t="str">
            <v>전기공사 기사2급</v>
          </cell>
          <cell r="E22" t="str">
            <v>인</v>
          </cell>
          <cell r="F22">
            <v>57636</v>
          </cell>
        </row>
        <row r="23">
          <cell r="A23" t="str">
            <v>d021</v>
          </cell>
          <cell r="B23">
            <v>21</v>
          </cell>
          <cell r="C23" t="str">
            <v>노 무 비</v>
          </cell>
          <cell r="D23" t="str">
            <v>통신 기능사</v>
          </cell>
          <cell r="E23" t="str">
            <v>인</v>
          </cell>
          <cell r="F23">
            <v>72145</v>
          </cell>
        </row>
        <row r="24">
          <cell r="A24" t="str">
            <v>d022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d023</v>
          </cell>
          <cell r="B25">
            <v>23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  <row r="26">
          <cell r="A26" t="str">
            <v>d024</v>
          </cell>
          <cell r="B26">
            <v>24</v>
          </cell>
          <cell r="C26" t="str">
            <v>노 무 비</v>
          </cell>
          <cell r="D26" t="str">
            <v>통신내선공</v>
          </cell>
          <cell r="E26" t="str">
            <v>인</v>
          </cell>
          <cell r="F26">
            <v>70804</v>
          </cell>
        </row>
        <row r="27">
          <cell r="A27" t="str">
            <v>d025</v>
          </cell>
          <cell r="B27">
            <v>25</v>
          </cell>
          <cell r="C27" t="str">
            <v>노 무 비</v>
          </cell>
          <cell r="D27" t="str">
            <v>통신설비공</v>
          </cell>
          <cell r="E27" t="str">
            <v>인</v>
          </cell>
          <cell r="F27">
            <v>73709</v>
          </cell>
        </row>
        <row r="28">
          <cell r="A28" t="str">
            <v>d026</v>
          </cell>
          <cell r="B28">
            <v>26</v>
          </cell>
          <cell r="C28" t="str">
            <v>노 무 비</v>
          </cell>
          <cell r="D28" t="str">
            <v>통신외선공</v>
          </cell>
          <cell r="E28" t="str">
            <v>인</v>
          </cell>
          <cell r="F28">
            <v>84302</v>
          </cell>
        </row>
        <row r="29">
          <cell r="A29" t="str">
            <v>d027</v>
          </cell>
          <cell r="B29">
            <v>27</v>
          </cell>
          <cell r="C29" t="str">
            <v>노 무 비</v>
          </cell>
          <cell r="D29" t="str">
            <v>통신케이블공</v>
          </cell>
          <cell r="E29" t="str">
            <v>인</v>
          </cell>
          <cell r="F29">
            <v>87823</v>
          </cell>
        </row>
        <row r="30">
          <cell r="A30" t="str">
            <v>d028</v>
          </cell>
          <cell r="B30">
            <v>28</v>
          </cell>
          <cell r="C30" t="str">
            <v>노 무 비</v>
          </cell>
          <cell r="D30" t="str">
            <v>특별인부</v>
          </cell>
          <cell r="E30" t="str">
            <v>인</v>
          </cell>
          <cell r="F30">
            <v>55074</v>
          </cell>
        </row>
        <row r="31">
          <cell r="A31" t="str">
            <v>d029</v>
          </cell>
          <cell r="B31">
            <v>29</v>
          </cell>
          <cell r="C31" t="str">
            <v>노 무 비</v>
          </cell>
          <cell r="D31" t="str">
            <v>프랜트전공</v>
          </cell>
          <cell r="E31" t="str">
            <v>인</v>
          </cell>
          <cell r="F31">
            <v>62877</v>
          </cell>
        </row>
        <row r="32">
          <cell r="A32" t="str">
            <v>d030</v>
          </cell>
          <cell r="B32">
            <v>30</v>
          </cell>
          <cell r="C32" t="str">
            <v>노 무 비</v>
          </cell>
          <cell r="D32" t="str">
            <v>형틀목공</v>
          </cell>
          <cell r="E32" t="str">
            <v>인</v>
          </cell>
          <cell r="F32">
            <v>70616</v>
          </cell>
        </row>
        <row r="33">
          <cell r="A33" t="str">
            <v>d031</v>
          </cell>
          <cell r="B33">
            <v>31</v>
          </cell>
          <cell r="C33" t="str">
            <v>노 무 비</v>
          </cell>
          <cell r="D33" t="str">
            <v>CPU 시험기사</v>
          </cell>
          <cell r="E33" t="str">
            <v>인</v>
          </cell>
          <cell r="F33">
            <v>76241</v>
          </cell>
        </row>
        <row r="34">
          <cell r="A34" t="str">
            <v>d032</v>
          </cell>
          <cell r="B34">
            <v>32</v>
          </cell>
          <cell r="C34" t="str">
            <v>노 무 비</v>
          </cell>
          <cell r="D34" t="str">
            <v>H/W 설치기사</v>
          </cell>
          <cell r="E34" t="str">
            <v>인</v>
          </cell>
          <cell r="F34">
            <v>79720</v>
          </cell>
        </row>
        <row r="35">
          <cell r="A35" t="str">
            <v>d033</v>
          </cell>
          <cell r="B35">
            <v>33</v>
          </cell>
          <cell r="C35" t="str">
            <v>노 무 비</v>
          </cell>
          <cell r="D35" t="str">
            <v>H/W 시험기사</v>
          </cell>
          <cell r="E35" t="str">
            <v>인</v>
          </cell>
          <cell r="F35">
            <v>75373</v>
          </cell>
        </row>
        <row r="36">
          <cell r="A36" t="str">
            <v>d034</v>
          </cell>
          <cell r="B36">
            <v>34</v>
          </cell>
          <cell r="C36" t="str">
            <v>노 무 비</v>
          </cell>
          <cell r="D36" t="str">
            <v>S/W 시험기사</v>
          </cell>
          <cell r="E36" t="str">
            <v>인</v>
          </cell>
          <cell r="F36">
            <v>75292</v>
          </cell>
        </row>
        <row r="37">
          <cell r="A37" t="str">
            <v>d035</v>
          </cell>
          <cell r="B37">
            <v>35</v>
          </cell>
          <cell r="C37" t="str">
            <v>노 무 비</v>
          </cell>
          <cell r="D37" t="str">
            <v>도장공</v>
          </cell>
          <cell r="E37" t="str">
            <v>인</v>
          </cell>
          <cell r="F37">
            <v>59569</v>
          </cell>
        </row>
        <row r="38">
          <cell r="A38" t="str">
            <v>d186</v>
          </cell>
          <cell r="B38">
            <v>186</v>
          </cell>
          <cell r="C38" t="str">
            <v>90도 H Elbow</v>
          </cell>
          <cell r="D38" t="str">
            <v>W=300</v>
          </cell>
          <cell r="E38" t="str">
            <v>EA</v>
          </cell>
          <cell r="F38">
            <v>18000</v>
          </cell>
        </row>
        <row r="39">
          <cell r="A39" t="str">
            <v>d185</v>
          </cell>
          <cell r="B39">
            <v>185</v>
          </cell>
          <cell r="C39" t="str">
            <v>90도 V Elbow</v>
          </cell>
          <cell r="D39" t="str">
            <v>W=300</v>
          </cell>
          <cell r="E39" t="str">
            <v>EA</v>
          </cell>
          <cell r="F39">
            <v>13500</v>
          </cell>
        </row>
        <row r="40">
          <cell r="A40" t="str">
            <v>d036</v>
          </cell>
          <cell r="B40">
            <v>36</v>
          </cell>
          <cell r="C40" t="str">
            <v>가요전선관</v>
          </cell>
          <cell r="D40" t="str">
            <v>방수 16mm</v>
          </cell>
          <cell r="E40" t="str">
            <v>M</v>
          </cell>
          <cell r="F40">
            <v>240</v>
          </cell>
          <cell r="G40">
            <v>5.8799999999999998E-2</v>
          </cell>
        </row>
        <row r="41">
          <cell r="A41" t="str">
            <v>d037</v>
          </cell>
          <cell r="B41">
            <v>37</v>
          </cell>
          <cell r="C41" t="str">
            <v>가요전선관</v>
          </cell>
          <cell r="D41" t="str">
            <v>방수 22mm</v>
          </cell>
          <cell r="E41" t="str">
            <v>M</v>
          </cell>
          <cell r="F41">
            <v>330</v>
          </cell>
          <cell r="G41">
            <v>7.5600000000000001E-2</v>
          </cell>
        </row>
        <row r="42">
          <cell r="A42" t="str">
            <v>d038</v>
          </cell>
          <cell r="B42">
            <v>38</v>
          </cell>
          <cell r="C42" t="str">
            <v>가요전선관</v>
          </cell>
          <cell r="D42" t="str">
            <v>비방수 16mm</v>
          </cell>
          <cell r="E42" t="str">
            <v>M</v>
          </cell>
          <cell r="F42">
            <v>160</v>
          </cell>
          <cell r="G42">
            <v>4.9000000000000002E-2</v>
          </cell>
        </row>
        <row r="43">
          <cell r="A43" t="str">
            <v>d039</v>
          </cell>
          <cell r="B43">
            <v>39</v>
          </cell>
          <cell r="C43" t="str">
            <v>가요전선관</v>
          </cell>
          <cell r="D43" t="str">
            <v>비방수 22mm</v>
          </cell>
          <cell r="E43" t="str">
            <v>M</v>
          </cell>
          <cell r="F43">
            <v>190</v>
          </cell>
          <cell r="G43">
            <v>6.3E-2</v>
          </cell>
        </row>
        <row r="44">
          <cell r="A44" t="str">
            <v>d040</v>
          </cell>
          <cell r="B44">
            <v>40</v>
          </cell>
          <cell r="C44" t="str">
            <v>감지기</v>
          </cell>
          <cell r="D44" t="str">
            <v>연기식</v>
          </cell>
          <cell r="E44" t="str">
            <v>EA</v>
          </cell>
          <cell r="F44">
            <v>4500</v>
          </cell>
          <cell r="G44">
            <v>0.13</v>
          </cell>
        </row>
        <row r="45">
          <cell r="A45" t="str">
            <v>d041</v>
          </cell>
          <cell r="B45">
            <v>41</v>
          </cell>
          <cell r="C45" t="str">
            <v>감지기</v>
          </cell>
          <cell r="D45" t="str">
            <v>차동식</v>
          </cell>
          <cell r="E45" t="str">
            <v>EA</v>
          </cell>
          <cell r="F45">
            <v>4500</v>
          </cell>
          <cell r="G45">
            <v>0.13</v>
          </cell>
        </row>
        <row r="46">
          <cell r="A46" t="str">
            <v>d042</v>
          </cell>
          <cell r="B46">
            <v>42</v>
          </cell>
          <cell r="C46" t="str">
            <v>강관</v>
          </cell>
          <cell r="D46" t="str">
            <v>백관 32mm</v>
          </cell>
          <cell r="E46" t="str">
            <v>M</v>
          </cell>
          <cell r="F46">
            <v>1485</v>
          </cell>
        </row>
        <row r="47">
          <cell r="A47" t="str">
            <v>d043</v>
          </cell>
          <cell r="B47">
            <v>43</v>
          </cell>
          <cell r="C47" t="str">
            <v>강관</v>
          </cell>
          <cell r="D47" t="str">
            <v>백관 40mm</v>
          </cell>
          <cell r="E47" t="str">
            <v>M</v>
          </cell>
          <cell r="F47">
            <v>1710</v>
          </cell>
        </row>
        <row r="48">
          <cell r="A48" t="str">
            <v>d044</v>
          </cell>
          <cell r="B48">
            <v>44</v>
          </cell>
          <cell r="C48" t="str">
            <v>경종</v>
          </cell>
          <cell r="D48" t="str">
            <v>DC 24V MBD</v>
          </cell>
          <cell r="E48" t="str">
            <v>EA</v>
          </cell>
          <cell r="F48">
            <v>5000</v>
          </cell>
          <cell r="G48">
            <v>0.15</v>
          </cell>
        </row>
        <row r="49">
          <cell r="A49" t="str">
            <v>d046</v>
          </cell>
          <cell r="B49">
            <v>46</v>
          </cell>
          <cell r="C49" t="str">
            <v>계량기 함</v>
          </cell>
          <cell r="D49" t="str">
            <v>1Ø2W 3-4세대용(SUS)</v>
          </cell>
          <cell r="E49" t="str">
            <v>EA</v>
          </cell>
          <cell r="F49">
            <v>36400</v>
          </cell>
          <cell r="G49">
            <v>0.3</v>
          </cell>
        </row>
        <row r="50">
          <cell r="A50" t="str">
            <v>d045</v>
          </cell>
          <cell r="B50">
            <v>45</v>
          </cell>
          <cell r="C50" t="str">
            <v>계량기 함</v>
          </cell>
          <cell r="D50" t="str">
            <v>합성수지 3Ø4W 중형</v>
          </cell>
          <cell r="E50" t="str">
            <v>EA</v>
          </cell>
          <cell r="F50">
            <v>17100</v>
          </cell>
          <cell r="G50">
            <v>0.3</v>
          </cell>
        </row>
        <row r="51">
          <cell r="A51" t="str">
            <v>d047</v>
          </cell>
          <cell r="B51">
            <v>47</v>
          </cell>
          <cell r="C51" t="str">
            <v>고압 애폭시애자</v>
          </cell>
          <cell r="D51" t="str">
            <v>7.2KV 55mm x 80mm</v>
          </cell>
          <cell r="E51" t="str">
            <v>EA</v>
          </cell>
          <cell r="F51">
            <v>3000</v>
          </cell>
          <cell r="H51">
            <v>0.21</v>
          </cell>
          <cell r="M51">
            <v>0.15</v>
          </cell>
        </row>
        <row r="52">
          <cell r="A52" t="str">
            <v>d048</v>
          </cell>
          <cell r="B52">
            <v>48</v>
          </cell>
          <cell r="C52" t="str">
            <v>고조도 반삿갓</v>
          </cell>
          <cell r="D52" t="str">
            <v>220(V)x20Wx2등</v>
          </cell>
          <cell r="E52" t="str">
            <v>EA</v>
          </cell>
          <cell r="F52">
            <v>5780</v>
          </cell>
        </row>
        <row r="53">
          <cell r="A53" t="str">
            <v>d049</v>
          </cell>
          <cell r="B53">
            <v>49</v>
          </cell>
          <cell r="C53" t="str">
            <v>고조도 반삿갓</v>
          </cell>
          <cell r="D53" t="str">
            <v>220(V)x40Wx2등</v>
          </cell>
          <cell r="E53" t="str">
            <v>EA</v>
          </cell>
          <cell r="F53">
            <v>8000</v>
          </cell>
        </row>
        <row r="54">
          <cell r="A54" t="str">
            <v>d050</v>
          </cell>
          <cell r="B54">
            <v>50</v>
          </cell>
          <cell r="C54" t="str">
            <v>나이프 S/W</v>
          </cell>
          <cell r="D54" t="str">
            <v>4P 200A</v>
          </cell>
          <cell r="E54" t="str">
            <v>EA</v>
          </cell>
          <cell r="F54">
            <v>45000</v>
          </cell>
          <cell r="G54">
            <v>0.68899999999999995</v>
          </cell>
        </row>
        <row r="55">
          <cell r="A55" t="str">
            <v>d051</v>
          </cell>
          <cell r="B55">
            <v>51</v>
          </cell>
          <cell r="C55" t="str">
            <v>넛트 와샤</v>
          </cell>
          <cell r="D55" t="str">
            <v>Ø10</v>
          </cell>
          <cell r="E55" t="str">
            <v>EA</v>
          </cell>
          <cell r="F55">
            <v>11.34</v>
          </cell>
        </row>
        <row r="56">
          <cell r="A56" t="str">
            <v>d208</v>
          </cell>
          <cell r="B56">
            <v>208</v>
          </cell>
          <cell r="C56" t="str">
            <v>넝         마</v>
          </cell>
          <cell r="F56">
            <v>0</v>
          </cell>
        </row>
        <row r="57">
          <cell r="A57" t="str">
            <v>d052</v>
          </cell>
          <cell r="B57">
            <v>52</v>
          </cell>
          <cell r="C57" t="str">
            <v>노말밴드</v>
          </cell>
          <cell r="D57" t="str">
            <v>HIPVC28mm</v>
          </cell>
          <cell r="E57" t="str">
            <v>EA</v>
          </cell>
          <cell r="F57">
            <v>585</v>
          </cell>
        </row>
        <row r="58">
          <cell r="A58" t="str">
            <v>d053</v>
          </cell>
          <cell r="B58">
            <v>53</v>
          </cell>
          <cell r="C58" t="str">
            <v>노말밴드</v>
          </cell>
          <cell r="D58" t="str">
            <v>HIPVC36mm</v>
          </cell>
          <cell r="E58" t="str">
            <v>EA</v>
          </cell>
          <cell r="F58">
            <v>750</v>
          </cell>
        </row>
        <row r="59">
          <cell r="A59" t="str">
            <v>d054</v>
          </cell>
          <cell r="B59">
            <v>54</v>
          </cell>
          <cell r="C59" t="str">
            <v>노말밴드</v>
          </cell>
          <cell r="D59" t="str">
            <v>HIPVC42mm</v>
          </cell>
          <cell r="E59" t="str">
            <v>EA</v>
          </cell>
          <cell r="F59">
            <v>950</v>
          </cell>
        </row>
        <row r="60">
          <cell r="A60" t="str">
            <v>d055</v>
          </cell>
          <cell r="B60">
            <v>55</v>
          </cell>
          <cell r="C60" t="str">
            <v>노말밴드</v>
          </cell>
          <cell r="D60" t="str">
            <v>HIPVC54mm</v>
          </cell>
          <cell r="E60" t="str">
            <v>EA</v>
          </cell>
          <cell r="F60">
            <v>1430</v>
          </cell>
        </row>
        <row r="61">
          <cell r="A61" t="str">
            <v>d056</v>
          </cell>
          <cell r="B61">
            <v>56</v>
          </cell>
          <cell r="C61" t="str">
            <v>노말밴드</v>
          </cell>
          <cell r="D61" t="str">
            <v>S/T 28mm</v>
          </cell>
          <cell r="E61" t="str">
            <v>EA</v>
          </cell>
          <cell r="F61">
            <v>1440</v>
          </cell>
        </row>
        <row r="62">
          <cell r="A62" t="str">
            <v>d057</v>
          </cell>
          <cell r="B62">
            <v>57</v>
          </cell>
          <cell r="C62" t="str">
            <v>노말밴드</v>
          </cell>
          <cell r="D62" t="str">
            <v>S/T 36mm</v>
          </cell>
          <cell r="E62" t="str">
            <v>EA</v>
          </cell>
          <cell r="F62">
            <v>2240</v>
          </cell>
        </row>
        <row r="63">
          <cell r="A63" t="str">
            <v>d058</v>
          </cell>
          <cell r="B63">
            <v>58</v>
          </cell>
          <cell r="C63" t="str">
            <v>노말밴드</v>
          </cell>
          <cell r="D63" t="str">
            <v>S/T 42mm</v>
          </cell>
          <cell r="E63" t="str">
            <v>EA</v>
          </cell>
          <cell r="F63">
            <v>2640</v>
          </cell>
        </row>
        <row r="64">
          <cell r="A64" t="str">
            <v>d059</v>
          </cell>
          <cell r="B64">
            <v>59</v>
          </cell>
          <cell r="C64" t="str">
            <v>노말밴드</v>
          </cell>
          <cell r="D64" t="str">
            <v>S/T 54mm</v>
          </cell>
          <cell r="E64" t="str">
            <v>EA</v>
          </cell>
          <cell r="F64">
            <v>4000</v>
          </cell>
        </row>
        <row r="65">
          <cell r="A65" t="str">
            <v>d230</v>
          </cell>
          <cell r="B65">
            <v>230</v>
          </cell>
          <cell r="C65" t="str">
            <v>노말밴드</v>
          </cell>
          <cell r="D65" t="str">
            <v>S/T 104mm</v>
          </cell>
          <cell r="E65" t="str">
            <v>EA</v>
          </cell>
          <cell r="F65">
            <v>18400</v>
          </cell>
        </row>
        <row r="66">
          <cell r="A66" t="str">
            <v>d206</v>
          </cell>
          <cell r="B66">
            <v>206</v>
          </cell>
          <cell r="C66" t="str">
            <v>녹막이  페 인 트</v>
          </cell>
          <cell r="D66" t="str">
            <v>2종 1급</v>
          </cell>
          <cell r="E66" t="str">
            <v>ℓ</v>
          </cell>
          <cell r="F66">
            <v>0</v>
          </cell>
        </row>
        <row r="67">
          <cell r="A67" t="str">
            <v>d211</v>
          </cell>
          <cell r="B67">
            <v>211</v>
          </cell>
          <cell r="C67" t="str">
            <v>ㄷ 형강</v>
          </cell>
          <cell r="D67" t="str">
            <v>5.0t 100x50</v>
          </cell>
          <cell r="E67" t="str">
            <v>EA</v>
          </cell>
          <cell r="F67">
            <v>300</v>
          </cell>
        </row>
        <row r="68">
          <cell r="A68" t="str">
            <v>d064</v>
          </cell>
          <cell r="B68">
            <v>64</v>
          </cell>
          <cell r="C68" t="str">
            <v>동 압착 슬리브</v>
          </cell>
          <cell r="D68" t="str">
            <v>C형 100-38㎟</v>
          </cell>
          <cell r="E68" t="str">
            <v>EA</v>
          </cell>
          <cell r="F68">
            <v>2000</v>
          </cell>
          <cell r="G68">
            <v>0.15</v>
          </cell>
        </row>
        <row r="69">
          <cell r="A69" t="str">
            <v>d065</v>
          </cell>
          <cell r="B69">
            <v>65</v>
          </cell>
          <cell r="C69" t="str">
            <v>동 압착 슬리브</v>
          </cell>
          <cell r="D69" t="str">
            <v>C형 100㎟</v>
          </cell>
          <cell r="E69" t="str">
            <v>EA</v>
          </cell>
          <cell r="F69">
            <v>2375</v>
          </cell>
          <cell r="G69">
            <v>0.15</v>
          </cell>
        </row>
        <row r="70">
          <cell r="A70" t="str">
            <v>d066</v>
          </cell>
          <cell r="B70">
            <v>66</v>
          </cell>
          <cell r="C70" t="str">
            <v>동 압착 슬리브</v>
          </cell>
          <cell r="D70" t="str">
            <v>C형 150㎟</v>
          </cell>
          <cell r="E70" t="str">
            <v>EA</v>
          </cell>
          <cell r="F70">
            <v>2850</v>
          </cell>
          <cell r="G70">
            <v>0.15</v>
          </cell>
        </row>
        <row r="71">
          <cell r="A71" t="str">
            <v>d067</v>
          </cell>
          <cell r="B71">
            <v>67</v>
          </cell>
          <cell r="C71" t="str">
            <v>동 압착 슬리브</v>
          </cell>
          <cell r="D71" t="str">
            <v>C형 200㎟</v>
          </cell>
          <cell r="E71" t="str">
            <v>EA</v>
          </cell>
          <cell r="F71">
            <v>3800</v>
          </cell>
          <cell r="G71">
            <v>0.15</v>
          </cell>
        </row>
        <row r="72">
          <cell r="A72" t="str">
            <v>d060</v>
          </cell>
          <cell r="B72">
            <v>60</v>
          </cell>
          <cell r="C72" t="str">
            <v>동 압착 슬리브</v>
          </cell>
          <cell r="D72" t="str">
            <v>C형 22㎟</v>
          </cell>
          <cell r="E72" t="str">
            <v>EA</v>
          </cell>
          <cell r="F72">
            <v>950</v>
          </cell>
          <cell r="G72">
            <v>0.15</v>
          </cell>
        </row>
        <row r="73">
          <cell r="A73" t="str">
            <v>d068</v>
          </cell>
          <cell r="B73">
            <v>68</v>
          </cell>
          <cell r="C73" t="str">
            <v>동 압착 슬리브</v>
          </cell>
          <cell r="D73" t="str">
            <v>C형 250㎟</v>
          </cell>
          <cell r="E73" t="str">
            <v>EA</v>
          </cell>
          <cell r="F73">
            <v>4940</v>
          </cell>
          <cell r="G73">
            <v>0.15</v>
          </cell>
        </row>
        <row r="74">
          <cell r="A74" t="str">
            <v>d061</v>
          </cell>
          <cell r="B74">
            <v>61</v>
          </cell>
          <cell r="C74" t="str">
            <v>동 압착 슬리브</v>
          </cell>
          <cell r="D74" t="str">
            <v>C형 38㎟</v>
          </cell>
          <cell r="E74" t="str">
            <v>EA</v>
          </cell>
          <cell r="F74">
            <v>1235</v>
          </cell>
          <cell r="G74">
            <v>0.15</v>
          </cell>
        </row>
        <row r="75">
          <cell r="A75" t="str">
            <v>d069</v>
          </cell>
          <cell r="B75">
            <v>69</v>
          </cell>
          <cell r="C75" t="str">
            <v>동 압착 슬리브</v>
          </cell>
          <cell r="D75" t="str">
            <v>C형 400-50㎟</v>
          </cell>
          <cell r="E75" t="str">
            <v>EA</v>
          </cell>
          <cell r="F75">
            <v>11000</v>
          </cell>
          <cell r="G75">
            <v>0.15</v>
          </cell>
        </row>
        <row r="76">
          <cell r="A76" t="str">
            <v>d062</v>
          </cell>
          <cell r="B76">
            <v>62</v>
          </cell>
          <cell r="C76" t="str">
            <v>동 압착 슬리브</v>
          </cell>
          <cell r="D76" t="str">
            <v>C형 50㎟</v>
          </cell>
          <cell r="E76" t="str">
            <v>EA</v>
          </cell>
          <cell r="F76">
            <v>1520</v>
          </cell>
          <cell r="G76">
            <v>0.15</v>
          </cell>
        </row>
        <row r="77">
          <cell r="A77" t="str">
            <v>d063</v>
          </cell>
          <cell r="B77">
            <v>63</v>
          </cell>
          <cell r="C77" t="str">
            <v>동 압착 슬리브</v>
          </cell>
          <cell r="D77" t="str">
            <v>C형 80㎟</v>
          </cell>
          <cell r="E77" t="str">
            <v>EA</v>
          </cell>
          <cell r="F77">
            <v>1900</v>
          </cell>
          <cell r="G77">
            <v>0.15</v>
          </cell>
        </row>
        <row r="78">
          <cell r="A78" t="str">
            <v>d070</v>
          </cell>
          <cell r="B78">
            <v>70</v>
          </cell>
          <cell r="C78" t="str">
            <v>동 피뢰침</v>
          </cell>
          <cell r="D78" t="str">
            <v>14 x 485mm</v>
          </cell>
          <cell r="E78" t="str">
            <v>EA</v>
          </cell>
          <cell r="F78">
            <v>9000</v>
          </cell>
          <cell r="G78">
            <v>1.5</v>
          </cell>
        </row>
        <row r="79">
          <cell r="A79" t="str">
            <v>d077</v>
          </cell>
          <cell r="B79">
            <v>77</v>
          </cell>
          <cell r="C79" t="str">
            <v>동관단자</v>
          </cell>
          <cell r="D79" t="str">
            <v>2홀 100㎟</v>
          </cell>
          <cell r="E79" t="str">
            <v>EA</v>
          </cell>
          <cell r="F79">
            <v>1500</v>
          </cell>
        </row>
        <row r="80">
          <cell r="A80" t="str">
            <v>d072</v>
          </cell>
          <cell r="B80">
            <v>72</v>
          </cell>
          <cell r="C80" t="str">
            <v>동관단자</v>
          </cell>
          <cell r="D80" t="str">
            <v>2홀 14㎟</v>
          </cell>
          <cell r="E80" t="str">
            <v>EA</v>
          </cell>
          <cell r="F80">
            <v>330</v>
          </cell>
        </row>
        <row r="81">
          <cell r="A81" t="str">
            <v>d078</v>
          </cell>
          <cell r="B81">
            <v>78</v>
          </cell>
          <cell r="C81" t="str">
            <v>동관단자</v>
          </cell>
          <cell r="D81" t="str">
            <v>2홀 150㎟</v>
          </cell>
          <cell r="E81" t="str">
            <v>EA</v>
          </cell>
          <cell r="F81">
            <v>2400</v>
          </cell>
        </row>
        <row r="82">
          <cell r="A82" t="str">
            <v>d079</v>
          </cell>
          <cell r="B82">
            <v>79</v>
          </cell>
          <cell r="C82" t="str">
            <v>동관단자</v>
          </cell>
          <cell r="D82" t="str">
            <v>2홀 200㎟</v>
          </cell>
          <cell r="E82" t="str">
            <v>EA</v>
          </cell>
          <cell r="F82">
            <v>2800</v>
          </cell>
        </row>
        <row r="83">
          <cell r="A83" t="str">
            <v>d073</v>
          </cell>
          <cell r="B83">
            <v>73</v>
          </cell>
          <cell r="C83" t="str">
            <v>동관단자</v>
          </cell>
          <cell r="D83" t="str">
            <v>2홀 22㎟</v>
          </cell>
          <cell r="E83" t="str">
            <v>EA</v>
          </cell>
          <cell r="F83">
            <v>380</v>
          </cell>
        </row>
        <row r="84">
          <cell r="A84" t="str">
            <v>d080</v>
          </cell>
          <cell r="B84">
            <v>80</v>
          </cell>
          <cell r="C84" t="str">
            <v>동관단자</v>
          </cell>
          <cell r="D84" t="str">
            <v>2홀 250㎟</v>
          </cell>
          <cell r="E84" t="str">
            <v>EA</v>
          </cell>
          <cell r="F84">
            <v>3800</v>
          </cell>
        </row>
        <row r="85">
          <cell r="A85" t="str">
            <v>d081</v>
          </cell>
          <cell r="B85">
            <v>81</v>
          </cell>
          <cell r="C85" t="str">
            <v>동관단자</v>
          </cell>
          <cell r="D85" t="str">
            <v>2홀 325㎟</v>
          </cell>
          <cell r="E85" t="str">
            <v>EA</v>
          </cell>
          <cell r="F85">
            <v>6500</v>
          </cell>
        </row>
        <row r="86">
          <cell r="A86" t="str">
            <v>d074</v>
          </cell>
          <cell r="B86">
            <v>74</v>
          </cell>
          <cell r="C86" t="str">
            <v>동관단자</v>
          </cell>
          <cell r="D86" t="str">
            <v>2홀 38㎟</v>
          </cell>
          <cell r="E86" t="str">
            <v>EA</v>
          </cell>
          <cell r="F86">
            <v>520</v>
          </cell>
        </row>
        <row r="87">
          <cell r="A87" t="str">
            <v>d082</v>
          </cell>
          <cell r="B87">
            <v>82</v>
          </cell>
          <cell r="C87" t="str">
            <v>동관단자</v>
          </cell>
          <cell r="D87" t="str">
            <v>2홀 400㎟</v>
          </cell>
          <cell r="E87" t="str">
            <v>EA</v>
          </cell>
          <cell r="F87">
            <v>8000</v>
          </cell>
        </row>
        <row r="88">
          <cell r="A88" t="str">
            <v>d075</v>
          </cell>
          <cell r="B88">
            <v>75</v>
          </cell>
          <cell r="C88" t="str">
            <v>동관단자</v>
          </cell>
          <cell r="D88" t="str">
            <v>2홀 60㎟</v>
          </cell>
          <cell r="E88" t="str">
            <v>EA</v>
          </cell>
          <cell r="F88">
            <v>800</v>
          </cell>
        </row>
        <row r="89">
          <cell r="A89" t="str">
            <v>d076</v>
          </cell>
          <cell r="B89">
            <v>76</v>
          </cell>
          <cell r="C89" t="str">
            <v>동관단자</v>
          </cell>
          <cell r="D89" t="str">
            <v>2홀 80㎟</v>
          </cell>
          <cell r="E89" t="str">
            <v>EA</v>
          </cell>
          <cell r="F89">
            <v>990</v>
          </cell>
        </row>
        <row r="90">
          <cell r="A90" t="str">
            <v>d071</v>
          </cell>
          <cell r="B90">
            <v>71</v>
          </cell>
          <cell r="C90" t="str">
            <v>동관단자</v>
          </cell>
          <cell r="D90" t="str">
            <v>2홀 8㎟</v>
          </cell>
          <cell r="E90" t="str">
            <v>EA</v>
          </cell>
          <cell r="F90">
            <v>280</v>
          </cell>
        </row>
        <row r="91">
          <cell r="A91" t="str">
            <v>d083</v>
          </cell>
          <cell r="B91">
            <v>83</v>
          </cell>
          <cell r="C91" t="str">
            <v>동축케이블(T.V)</v>
          </cell>
          <cell r="D91" t="str">
            <v>ECX 5C-2V</v>
          </cell>
          <cell r="E91" t="str">
            <v>M</v>
          </cell>
          <cell r="F91">
            <v>330</v>
          </cell>
          <cell r="K91">
            <v>1.7999999999999999E-2</v>
          </cell>
        </row>
        <row r="92">
          <cell r="A92" t="str">
            <v>d084</v>
          </cell>
          <cell r="B92">
            <v>84</v>
          </cell>
          <cell r="C92" t="str">
            <v>리미트 S/W</v>
          </cell>
          <cell r="D92" t="str">
            <v>250V15A 로라레바형</v>
          </cell>
          <cell r="E92" t="str">
            <v>EA</v>
          </cell>
          <cell r="F92">
            <v>5100</v>
          </cell>
          <cell r="G92">
            <v>0.12</v>
          </cell>
        </row>
        <row r="93">
          <cell r="A93" t="str">
            <v>d085</v>
          </cell>
          <cell r="B93">
            <v>85</v>
          </cell>
          <cell r="C93" t="str">
            <v>모  래</v>
          </cell>
          <cell r="D93" t="str">
            <v>세사</v>
          </cell>
          <cell r="E93" t="str">
            <v>㎣</v>
          </cell>
          <cell r="F93">
            <v>7000</v>
          </cell>
        </row>
        <row r="94">
          <cell r="A94" t="str">
            <v>d086</v>
          </cell>
          <cell r="B94">
            <v>86</v>
          </cell>
          <cell r="C94" t="str">
            <v>발신기</v>
          </cell>
          <cell r="D94" t="str">
            <v>2급(보통형)</v>
          </cell>
          <cell r="E94" t="str">
            <v>EA</v>
          </cell>
          <cell r="F94">
            <v>3400</v>
          </cell>
          <cell r="G94">
            <v>0.3</v>
          </cell>
        </row>
        <row r="95">
          <cell r="A95" t="str">
            <v>d200</v>
          </cell>
          <cell r="B95">
            <v>200</v>
          </cell>
          <cell r="C95" t="str">
            <v>발전기 접속함</v>
          </cell>
          <cell r="D95" t="str">
            <v>접속자 200A</v>
          </cell>
          <cell r="E95" t="str">
            <v>면</v>
          </cell>
          <cell r="F95">
            <v>0</v>
          </cell>
          <cell r="G95">
            <v>0.92200000000000004</v>
          </cell>
        </row>
        <row r="96">
          <cell r="A96" t="str">
            <v>d087</v>
          </cell>
          <cell r="B96">
            <v>87</v>
          </cell>
          <cell r="C96" t="str">
            <v>백열등기구</v>
          </cell>
          <cell r="D96" t="str">
            <v>220V 100W 방폭증</v>
          </cell>
          <cell r="E96" t="str">
            <v>SET</v>
          </cell>
          <cell r="F96">
            <v>56000</v>
          </cell>
          <cell r="G96">
            <v>0.36</v>
          </cell>
        </row>
        <row r="97">
          <cell r="A97" t="str">
            <v>d197</v>
          </cell>
          <cell r="B97">
            <v>197</v>
          </cell>
          <cell r="C97" t="str">
            <v>백열등기구</v>
          </cell>
          <cell r="D97" t="str">
            <v>직부형</v>
          </cell>
          <cell r="E97" t="str">
            <v>SET</v>
          </cell>
          <cell r="F97">
            <v>5000</v>
          </cell>
          <cell r="G97">
            <v>0.18</v>
          </cell>
        </row>
        <row r="98">
          <cell r="A98" t="str">
            <v>d088</v>
          </cell>
          <cell r="B98">
            <v>88</v>
          </cell>
          <cell r="C98" t="str">
            <v>백열전구</v>
          </cell>
          <cell r="D98" t="str">
            <v>220V 60W</v>
          </cell>
          <cell r="E98" t="str">
            <v>EA</v>
          </cell>
          <cell r="F98">
            <v>220</v>
          </cell>
        </row>
        <row r="99">
          <cell r="A99" t="str">
            <v>d091</v>
          </cell>
          <cell r="B99">
            <v>91</v>
          </cell>
          <cell r="C99" t="str">
            <v>브스바</v>
          </cell>
          <cell r="D99" t="str">
            <v>100x100x1000mm(8.9)</v>
          </cell>
          <cell r="E99" t="str">
            <v>Kg</v>
          </cell>
          <cell r="F99">
            <v>2850</v>
          </cell>
          <cell r="H99">
            <v>0.13</v>
          </cell>
          <cell r="M99">
            <v>0.09</v>
          </cell>
        </row>
        <row r="100">
          <cell r="A100" t="str">
            <v>d089</v>
          </cell>
          <cell r="B100">
            <v>89</v>
          </cell>
          <cell r="C100" t="str">
            <v>브스바</v>
          </cell>
          <cell r="D100" t="str">
            <v>3.0mm x 25(0.66)</v>
          </cell>
          <cell r="E100" t="str">
            <v>Kg</v>
          </cell>
          <cell r="F100">
            <v>2850</v>
          </cell>
          <cell r="H100">
            <v>0.12</v>
          </cell>
          <cell r="M100">
            <v>0.08</v>
          </cell>
        </row>
        <row r="101">
          <cell r="A101" t="str">
            <v>d090</v>
          </cell>
          <cell r="B101">
            <v>90</v>
          </cell>
          <cell r="C101" t="str">
            <v>브스바</v>
          </cell>
          <cell r="D101" t="str">
            <v>3.0mm x 50(1.33)</v>
          </cell>
          <cell r="E101" t="str">
            <v>Kg</v>
          </cell>
          <cell r="F101">
            <v>2850</v>
          </cell>
          <cell r="H101">
            <v>0.12</v>
          </cell>
          <cell r="M101">
            <v>0.08</v>
          </cell>
        </row>
        <row r="102">
          <cell r="A102" t="str">
            <v>d092</v>
          </cell>
          <cell r="B102">
            <v>92</v>
          </cell>
          <cell r="C102" t="str">
            <v>비디오폰</v>
          </cell>
          <cell r="D102" t="str">
            <v xml:space="preserve">CH 911SV 화재,방범,가스 </v>
          </cell>
          <cell r="E102" t="str">
            <v>SET</v>
          </cell>
          <cell r="F102">
            <v>440000</v>
          </cell>
          <cell r="G102">
            <v>0.44</v>
          </cell>
        </row>
        <row r="103">
          <cell r="A103" t="str">
            <v>d095</v>
          </cell>
          <cell r="B103">
            <v>95</v>
          </cell>
          <cell r="C103" t="str">
            <v>세프티 S/W</v>
          </cell>
          <cell r="D103" t="str">
            <v>3P 100A</v>
          </cell>
          <cell r="E103" t="str">
            <v>EA</v>
          </cell>
          <cell r="F103">
            <v>56300</v>
          </cell>
          <cell r="G103">
            <v>0.4</v>
          </cell>
        </row>
        <row r="104">
          <cell r="A104" t="str">
            <v>d096</v>
          </cell>
          <cell r="B104">
            <v>96</v>
          </cell>
          <cell r="C104" t="str">
            <v>세프티 S/W</v>
          </cell>
          <cell r="D104" t="str">
            <v>3P 200A</v>
          </cell>
          <cell r="E104" t="str">
            <v>EA</v>
          </cell>
          <cell r="F104">
            <v>112500</v>
          </cell>
          <cell r="G104">
            <v>0.55000000000000004</v>
          </cell>
        </row>
        <row r="105">
          <cell r="A105" t="str">
            <v>d093</v>
          </cell>
          <cell r="B105">
            <v>93</v>
          </cell>
          <cell r="C105" t="str">
            <v>세프티 S/W</v>
          </cell>
          <cell r="D105" t="str">
            <v>3P 30A</v>
          </cell>
          <cell r="E105" t="str">
            <v>EA</v>
          </cell>
          <cell r="F105">
            <v>22500</v>
          </cell>
          <cell r="G105">
            <v>0.2</v>
          </cell>
        </row>
        <row r="106">
          <cell r="A106" t="str">
            <v>d094</v>
          </cell>
          <cell r="B106">
            <v>94</v>
          </cell>
          <cell r="C106" t="str">
            <v>세프티 S/W</v>
          </cell>
          <cell r="D106" t="str">
            <v>3P 60A</v>
          </cell>
          <cell r="E106" t="str">
            <v>EA</v>
          </cell>
          <cell r="F106">
            <v>30400</v>
          </cell>
          <cell r="G106">
            <v>0.3</v>
          </cell>
        </row>
        <row r="107">
          <cell r="A107" t="str">
            <v>d097</v>
          </cell>
          <cell r="B107">
            <v>97</v>
          </cell>
          <cell r="C107" t="str">
            <v>셋트 앙카</v>
          </cell>
          <cell r="D107" t="str">
            <v>1/2" x 100</v>
          </cell>
          <cell r="E107" t="str">
            <v>EA</v>
          </cell>
          <cell r="F107">
            <v>140</v>
          </cell>
          <cell r="G107">
            <v>0.08</v>
          </cell>
          <cell r="M107">
            <v>3.5999999999999997E-2</v>
          </cell>
        </row>
        <row r="108">
          <cell r="A108" t="str">
            <v>d098</v>
          </cell>
          <cell r="B108">
            <v>98</v>
          </cell>
          <cell r="C108" t="str">
            <v>수신기</v>
          </cell>
          <cell r="D108" t="str">
            <v>P형 1급 5CC</v>
          </cell>
          <cell r="E108" t="str">
            <v>대</v>
          </cell>
          <cell r="F108">
            <v>180000</v>
          </cell>
          <cell r="G108">
            <v>7.5</v>
          </cell>
        </row>
        <row r="109">
          <cell r="A109" t="str">
            <v>d099</v>
          </cell>
          <cell r="B109">
            <v>99</v>
          </cell>
          <cell r="C109" t="str">
            <v>스위치 박스</v>
          </cell>
          <cell r="D109" t="str">
            <v>S/W BOX 54mm 1EA</v>
          </cell>
          <cell r="E109" t="str">
            <v>EA</v>
          </cell>
          <cell r="F109">
            <v>440</v>
          </cell>
          <cell r="G109">
            <v>0.2</v>
          </cell>
        </row>
        <row r="110">
          <cell r="A110" t="str">
            <v>d100</v>
          </cell>
          <cell r="B110">
            <v>100</v>
          </cell>
          <cell r="C110" t="str">
            <v>스위치(매입램프)</v>
          </cell>
          <cell r="D110" t="str">
            <v>250V15A1구 ALW1111</v>
          </cell>
          <cell r="E110" t="str">
            <v>EA</v>
          </cell>
          <cell r="F110">
            <v>820</v>
          </cell>
          <cell r="G110">
            <v>6.5000000000000002E-2</v>
          </cell>
        </row>
        <row r="111">
          <cell r="A111" t="str">
            <v>d101</v>
          </cell>
          <cell r="B111">
            <v>101</v>
          </cell>
          <cell r="C111" t="str">
            <v>스위치(매입램프)</v>
          </cell>
          <cell r="D111" t="str">
            <v>250V15A2구 ALW1111</v>
          </cell>
          <cell r="E111" t="str">
            <v>EA</v>
          </cell>
          <cell r="F111">
            <v>1080</v>
          </cell>
          <cell r="G111">
            <v>7.8E-2</v>
          </cell>
        </row>
        <row r="112">
          <cell r="A112" t="str">
            <v>d102</v>
          </cell>
          <cell r="B112">
            <v>102</v>
          </cell>
          <cell r="C112" t="str">
            <v>스위치(매입램프)</v>
          </cell>
          <cell r="D112" t="str">
            <v>250V15A3구 ALW1111</v>
          </cell>
          <cell r="E112" t="str">
            <v>EA</v>
          </cell>
          <cell r="F112">
            <v>2600</v>
          </cell>
          <cell r="G112">
            <v>9.0999999999999998E-2</v>
          </cell>
        </row>
        <row r="113">
          <cell r="A113" t="str">
            <v>d103</v>
          </cell>
          <cell r="B113">
            <v>103</v>
          </cell>
          <cell r="C113" t="str">
            <v>스위치(매입램프)</v>
          </cell>
          <cell r="D113" t="str">
            <v>250V15A3로 ALW1111</v>
          </cell>
          <cell r="E113" t="str">
            <v>EA</v>
          </cell>
          <cell r="F113">
            <v>1004</v>
          </cell>
          <cell r="G113">
            <v>9.5000000000000001E-2</v>
          </cell>
        </row>
        <row r="114">
          <cell r="A114" t="str">
            <v>d207</v>
          </cell>
          <cell r="B114">
            <v>207</v>
          </cell>
          <cell r="C114" t="str">
            <v>신         너</v>
          </cell>
          <cell r="D114" t="str">
            <v>1종 1급 DR291</v>
          </cell>
          <cell r="E114" t="str">
            <v>ℓ</v>
          </cell>
          <cell r="F114">
            <v>0</v>
          </cell>
        </row>
        <row r="115">
          <cell r="A115" t="str">
            <v>d104</v>
          </cell>
          <cell r="B115">
            <v>104</v>
          </cell>
          <cell r="C115" t="str">
            <v>아우트레트 박스</v>
          </cell>
          <cell r="D115" t="str">
            <v>4각BOX 54mm</v>
          </cell>
          <cell r="E115" t="str">
            <v>EA</v>
          </cell>
          <cell r="F115">
            <v>489</v>
          </cell>
          <cell r="G115">
            <v>0.2</v>
          </cell>
        </row>
        <row r="116">
          <cell r="A116" t="str">
            <v>d105</v>
          </cell>
          <cell r="B116">
            <v>105</v>
          </cell>
          <cell r="C116" t="str">
            <v>아우트레트 박스</v>
          </cell>
          <cell r="D116" t="str">
            <v>8각BOX 54mm</v>
          </cell>
          <cell r="E116" t="str">
            <v>EA</v>
          </cell>
          <cell r="F116">
            <v>445</v>
          </cell>
          <cell r="G116">
            <v>0.2</v>
          </cell>
        </row>
        <row r="117">
          <cell r="A117" t="str">
            <v>d106</v>
          </cell>
          <cell r="B117">
            <v>106</v>
          </cell>
          <cell r="C117" t="str">
            <v>아우트레트 박스</v>
          </cell>
          <cell r="D117" t="str">
            <v>S/WBOX 54mm</v>
          </cell>
          <cell r="E117" t="str">
            <v>EA</v>
          </cell>
          <cell r="F117">
            <v>360</v>
          </cell>
          <cell r="G117">
            <v>0.2</v>
          </cell>
        </row>
        <row r="118">
          <cell r="A118" t="str">
            <v>d213</v>
          </cell>
          <cell r="B118">
            <v>213</v>
          </cell>
          <cell r="C118" t="str">
            <v>앵 카 볼 트</v>
          </cell>
          <cell r="D118" t="str">
            <v>13MM(1/2)x125L</v>
          </cell>
          <cell r="E118" t="str">
            <v>EA</v>
          </cell>
          <cell r="F118">
            <v>145</v>
          </cell>
        </row>
        <row r="119">
          <cell r="A119" t="str">
            <v>d210</v>
          </cell>
          <cell r="B119">
            <v>210</v>
          </cell>
          <cell r="C119" t="str">
            <v>연   마   지</v>
          </cell>
          <cell r="D119" t="str">
            <v>22.8 x 25Cm</v>
          </cell>
          <cell r="F119">
            <v>0</v>
          </cell>
        </row>
        <row r="120">
          <cell r="A120" t="str">
            <v>d107</v>
          </cell>
          <cell r="B120">
            <v>107</v>
          </cell>
          <cell r="C120" t="str">
            <v>오뚜기식 제어기</v>
          </cell>
          <cell r="D120" t="str">
            <v>부력식형</v>
          </cell>
          <cell r="E120" t="str">
            <v>EA</v>
          </cell>
          <cell r="F120">
            <v>33000</v>
          </cell>
          <cell r="G120">
            <v>0.08</v>
          </cell>
        </row>
        <row r="121">
          <cell r="A121" t="str">
            <v>d108</v>
          </cell>
          <cell r="B121">
            <v>108</v>
          </cell>
          <cell r="C121" t="str">
            <v>위샤캡</v>
          </cell>
          <cell r="D121" t="str">
            <v>S/T 28mm</v>
          </cell>
          <cell r="E121" t="str">
            <v>EA</v>
          </cell>
          <cell r="F121">
            <v>2100</v>
          </cell>
          <cell r="G121">
            <v>0.03</v>
          </cell>
        </row>
        <row r="122">
          <cell r="A122" t="str">
            <v>d109</v>
          </cell>
          <cell r="B122">
            <v>109</v>
          </cell>
          <cell r="C122" t="str">
            <v>위샤캡</v>
          </cell>
          <cell r="D122" t="str">
            <v>S/T 36mm</v>
          </cell>
          <cell r="E122" t="str">
            <v>EA</v>
          </cell>
          <cell r="F122">
            <v>2480</v>
          </cell>
          <cell r="G122">
            <v>0.04</v>
          </cell>
        </row>
        <row r="123">
          <cell r="A123" t="str">
            <v>d110</v>
          </cell>
          <cell r="B123">
            <v>110</v>
          </cell>
          <cell r="C123" t="str">
            <v>위샤캡</v>
          </cell>
          <cell r="D123" t="str">
            <v>S/T 42mm</v>
          </cell>
          <cell r="E123" t="str">
            <v>EA</v>
          </cell>
          <cell r="F123">
            <v>2770</v>
          </cell>
          <cell r="G123">
            <v>0.04</v>
          </cell>
        </row>
        <row r="124">
          <cell r="A124" t="str">
            <v>d111</v>
          </cell>
          <cell r="B124">
            <v>111</v>
          </cell>
          <cell r="C124" t="str">
            <v>위샤캡</v>
          </cell>
          <cell r="D124" t="str">
            <v>S/T 54mm</v>
          </cell>
          <cell r="E124" t="str">
            <v>EA</v>
          </cell>
          <cell r="F124">
            <v>3440</v>
          </cell>
          <cell r="G124">
            <v>0.04</v>
          </cell>
        </row>
        <row r="125">
          <cell r="A125" t="str">
            <v>d229</v>
          </cell>
          <cell r="B125">
            <v>229</v>
          </cell>
          <cell r="C125" t="str">
            <v>위샤캡</v>
          </cell>
          <cell r="D125" t="str">
            <v>S/T 104mm</v>
          </cell>
          <cell r="E125" t="str">
            <v>EA</v>
          </cell>
          <cell r="F125">
            <v>23906</v>
          </cell>
          <cell r="G125">
            <v>0.04</v>
          </cell>
        </row>
        <row r="126">
          <cell r="A126" t="str">
            <v>d212</v>
          </cell>
          <cell r="B126">
            <v>212</v>
          </cell>
          <cell r="C126" t="str">
            <v>유니스트러트 챤넬</v>
          </cell>
          <cell r="D126" t="str">
            <v>2.3t 42x42</v>
          </cell>
          <cell r="E126" t="str">
            <v>EA</v>
          </cell>
          <cell r="F126">
            <v>0</v>
          </cell>
        </row>
        <row r="127">
          <cell r="A127" t="str">
            <v>d205</v>
          </cell>
          <cell r="B127">
            <v>205</v>
          </cell>
          <cell r="C127" t="str">
            <v>은            분</v>
          </cell>
          <cell r="E127" t="str">
            <v>ℓ</v>
          </cell>
          <cell r="F127">
            <v>0</v>
          </cell>
        </row>
        <row r="128">
          <cell r="A128" t="str">
            <v>d112</v>
          </cell>
          <cell r="B128">
            <v>112</v>
          </cell>
          <cell r="C128" t="str">
            <v>작은나사</v>
          </cell>
          <cell r="D128" t="str">
            <v>황동 1/8"x1 1/4"</v>
          </cell>
          <cell r="E128" t="str">
            <v>EA</v>
          </cell>
          <cell r="F128">
            <v>4.5999999999999996</v>
          </cell>
        </row>
        <row r="129">
          <cell r="A129" t="str">
            <v>d113</v>
          </cell>
          <cell r="B129">
            <v>113</v>
          </cell>
          <cell r="C129" t="str">
            <v>장미전구</v>
          </cell>
          <cell r="D129" t="str">
            <v>220(V) x 20W전자식</v>
          </cell>
          <cell r="E129" t="str">
            <v>EA</v>
          </cell>
          <cell r="F129">
            <v>7500</v>
          </cell>
          <cell r="G129">
            <v>0.245</v>
          </cell>
        </row>
        <row r="130">
          <cell r="A130" t="str">
            <v>d116</v>
          </cell>
          <cell r="B130">
            <v>116</v>
          </cell>
          <cell r="C130" t="str">
            <v>전  선</v>
          </cell>
          <cell r="D130" t="str">
            <v>CPEV 0.65mm 10P</v>
          </cell>
          <cell r="E130" t="str">
            <v>M</v>
          </cell>
          <cell r="F130">
            <v>523</v>
          </cell>
          <cell r="J130">
            <v>0.18</v>
          </cell>
        </row>
        <row r="131">
          <cell r="A131" t="str">
            <v>d114</v>
          </cell>
          <cell r="B131">
            <v>114</v>
          </cell>
          <cell r="C131" t="str">
            <v>전극봉식 제어기</v>
          </cell>
          <cell r="D131" t="str">
            <v>3선 3극</v>
          </cell>
          <cell r="E131" t="str">
            <v>EA</v>
          </cell>
          <cell r="F131">
            <v>33000</v>
          </cell>
          <cell r="G131">
            <v>0.08</v>
          </cell>
        </row>
        <row r="132">
          <cell r="A132" t="str">
            <v>d115</v>
          </cell>
          <cell r="B132">
            <v>115</v>
          </cell>
          <cell r="C132" t="str">
            <v>전기맨홀</v>
          </cell>
          <cell r="D132" t="str">
            <v>Ø950(Ø750)소형</v>
          </cell>
          <cell r="E132" t="str">
            <v>EA</v>
          </cell>
          <cell r="F132">
            <v>365000</v>
          </cell>
        </row>
        <row r="133">
          <cell r="A133" t="str">
            <v>d117</v>
          </cell>
          <cell r="B133">
            <v>117</v>
          </cell>
          <cell r="C133" t="str">
            <v>전선</v>
          </cell>
          <cell r="D133" t="str">
            <v>CV 5.5㎟/1C</v>
          </cell>
          <cell r="E133" t="str">
            <v>M</v>
          </cell>
          <cell r="F133">
            <v>270</v>
          </cell>
          <cell r="G133">
            <v>0.01</v>
          </cell>
        </row>
        <row r="134">
          <cell r="A134" t="str">
            <v>d118</v>
          </cell>
          <cell r="B134">
            <v>118</v>
          </cell>
          <cell r="C134" t="str">
            <v>전선</v>
          </cell>
          <cell r="D134" t="str">
            <v>CV 8㎟/1C</v>
          </cell>
          <cell r="E134" t="str">
            <v>M</v>
          </cell>
          <cell r="F134">
            <v>350</v>
          </cell>
          <cell r="G134">
            <v>0.02</v>
          </cell>
        </row>
        <row r="135">
          <cell r="A135" t="str">
            <v>d119</v>
          </cell>
          <cell r="B135">
            <v>119</v>
          </cell>
          <cell r="C135" t="str">
            <v>전선</v>
          </cell>
          <cell r="D135" t="str">
            <v>CV 14㎟/1C</v>
          </cell>
          <cell r="E135" t="str">
            <v>M</v>
          </cell>
          <cell r="F135">
            <v>615</v>
          </cell>
          <cell r="G135">
            <v>0.02</v>
          </cell>
        </row>
        <row r="136">
          <cell r="A136" t="str">
            <v>d120</v>
          </cell>
          <cell r="B136">
            <v>120</v>
          </cell>
          <cell r="C136" t="str">
            <v>전선</v>
          </cell>
          <cell r="D136" t="str">
            <v>CV 22㎟/1C</v>
          </cell>
          <cell r="E136" t="str">
            <v>M</v>
          </cell>
          <cell r="F136">
            <v>812</v>
          </cell>
          <cell r="G136">
            <v>3.1E-2</v>
          </cell>
        </row>
        <row r="137">
          <cell r="A137" t="str">
            <v>d121</v>
          </cell>
          <cell r="B137">
            <v>121</v>
          </cell>
          <cell r="C137" t="str">
            <v>전선</v>
          </cell>
          <cell r="D137" t="str">
            <v>CV 38㎟/1C</v>
          </cell>
          <cell r="E137" t="str">
            <v>M</v>
          </cell>
          <cell r="F137">
            <v>1250</v>
          </cell>
          <cell r="G137">
            <v>3.1E-2</v>
          </cell>
        </row>
        <row r="138">
          <cell r="A138" t="str">
            <v>d228</v>
          </cell>
          <cell r="B138">
            <v>228</v>
          </cell>
          <cell r="C138" t="str">
            <v>전선</v>
          </cell>
          <cell r="D138" t="str">
            <v>CV 100㎟/1C</v>
          </cell>
          <cell r="E138" t="str">
            <v>M</v>
          </cell>
          <cell r="F138">
            <v>3518</v>
          </cell>
          <cell r="G138">
            <v>6.4000000000000001E-2</v>
          </cell>
        </row>
        <row r="139">
          <cell r="A139" t="str">
            <v>d122</v>
          </cell>
          <cell r="B139">
            <v>122</v>
          </cell>
          <cell r="C139" t="str">
            <v>전선</v>
          </cell>
          <cell r="D139" t="str">
            <v>CVV 2.0㎟/1C</v>
          </cell>
          <cell r="E139" t="str">
            <v>M</v>
          </cell>
          <cell r="F139">
            <v>95</v>
          </cell>
          <cell r="G139">
            <v>0.01</v>
          </cell>
        </row>
        <row r="140">
          <cell r="A140" t="str">
            <v>d125</v>
          </cell>
          <cell r="B140">
            <v>125</v>
          </cell>
          <cell r="C140" t="str">
            <v>전선</v>
          </cell>
          <cell r="D140" t="str">
            <v>GV 100㎟</v>
          </cell>
          <cell r="E140" t="str">
            <v>M</v>
          </cell>
          <cell r="F140">
            <v>3518</v>
          </cell>
          <cell r="G140">
            <v>0.02</v>
          </cell>
        </row>
        <row r="141">
          <cell r="A141" t="str">
            <v>d128</v>
          </cell>
          <cell r="B141">
            <v>128</v>
          </cell>
          <cell r="C141" t="str">
            <v>전선</v>
          </cell>
          <cell r="D141" t="str">
            <v>GV 14㎟</v>
          </cell>
          <cell r="E141" t="str">
            <v>M</v>
          </cell>
          <cell r="F141">
            <v>715</v>
          </cell>
          <cell r="G141">
            <v>0.02</v>
          </cell>
        </row>
        <row r="142">
          <cell r="A142" t="str">
            <v>d123</v>
          </cell>
          <cell r="B142">
            <v>123</v>
          </cell>
          <cell r="C142" t="str">
            <v>전선</v>
          </cell>
          <cell r="D142" t="str">
            <v>GV 38㎟</v>
          </cell>
          <cell r="E142" t="str">
            <v>M</v>
          </cell>
          <cell r="F142">
            <v>1494</v>
          </cell>
          <cell r="G142">
            <v>3.1E-2</v>
          </cell>
        </row>
        <row r="143">
          <cell r="A143" t="str">
            <v>d126</v>
          </cell>
          <cell r="B143">
            <v>126</v>
          </cell>
          <cell r="C143" t="str">
            <v>전선</v>
          </cell>
          <cell r="D143" t="str">
            <v>GV 400㎟</v>
          </cell>
          <cell r="E143" t="str">
            <v>M</v>
          </cell>
          <cell r="F143">
            <v>13768</v>
          </cell>
          <cell r="G143">
            <v>2.5000000000000001E-2</v>
          </cell>
        </row>
        <row r="144">
          <cell r="A144" t="str">
            <v>d124</v>
          </cell>
          <cell r="B144">
            <v>124</v>
          </cell>
          <cell r="C144" t="str">
            <v>전선</v>
          </cell>
          <cell r="D144" t="str">
            <v>GV 50㎟</v>
          </cell>
          <cell r="E144" t="str">
            <v>M</v>
          </cell>
          <cell r="F144">
            <v>2006</v>
          </cell>
          <cell r="G144">
            <v>1.4999999999999999E-2</v>
          </cell>
        </row>
        <row r="145">
          <cell r="A145" t="str">
            <v>d214</v>
          </cell>
          <cell r="B145">
            <v>214</v>
          </cell>
          <cell r="C145" t="str">
            <v>전선</v>
          </cell>
          <cell r="D145" t="str">
            <v>GV 8㎟</v>
          </cell>
          <cell r="E145" t="str">
            <v>M</v>
          </cell>
          <cell r="F145">
            <v>414</v>
          </cell>
          <cell r="G145">
            <v>0.02</v>
          </cell>
        </row>
        <row r="146">
          <cell r="A146" t="str">
            <v>d127</v>
          </cell>
          <cell r="B146">
            <v>127</v>
          </cell>
          <cell r="C146" t="str">
            <v>전선</v>
          </cell>
          <cell r="D146" t="str">
            <v>HIV 2.0mm</v>
          </cell>
          <cell r="E146" t="str">
            <v>M</v>
          </cell>
          <cell r="F146">
            <v>94</v>
          </cell>
          <cell r="G146">
            <v>0.01</v>
          </cell>
        </row>
        <row r="147">
          <cell r="A147" t="str">
            <v>d129</v>
          </cell>
          <cell r="B147">
            <v>129</v>
          </cell>
          <cell r="C147" t="str">
            <v>전선</v>
          </cell>
          <cell r="D147" t="str">
            <v>HIV 5.5㎟</v>
          </cell>
          <cell r="E147" t="str">
            <v>M</v>
          </cell>
          <cell r="F147">
            <v>183</v>
          </cell>
          <cell r="G147">
            <v>0.01</v>
          </cell>
        </row>
        <row r="148">
          <cell r="A148" t="str">
            <v>d130</v>
          </cell>
          <cell r="B148">
            <v>130</v>
          </cell>
          <cell r="C148" t="str">
            <v>전선</v>
          </cell>
          <cell r="D148" t="str">
            <v>HIV 8㎟</v>
          </cell>
          <cell r="E148" t="str">
            <v>M</v>
          </cell>
          <cell r="F148">
            <v>265</v>
          </cell>
          <cell r="G148">
            <v>0.02</v>
          </cell>
        </row>
        <row r="149">
          <cell r="A149" t="str">
            <v>d131</v>
          </cell>
          <cell r="B149">
            <v>131</v>
          </cell>
          <cell r="C149" t="str">
            <v>전선</v>
          </cell>
          <cell r="D149" t="str">
            <v>TIV 0.8mm/2C</v>
          </cell>
          <cell r="E149" t="str">
            <v>M</v>
          </cell>
          <cell r="F149">
            <v>38</v>
          </cell>
          <cell r="I149">
            <v>1.4999999999999999E-2</v>
          </cell>
        </row>
        <row r="150">
          <cell r="A150" t="str">
            <v>d217</v>
          </cell>
          <cell r="B150">
            <v>217</v>
          </cell>
          <cell r="C150" t="str">
            <v>전선관</v>
          </cell>
          <cell r="D150" t="str">
            <v>ELP D : 30</v>
          </cell>
          <cell r="E150" t="str">
            <v>M</v>
          </cell>
          <cell r="F150">
            <v>305</v>
          </cell>
          <cell r="G150">
            <v>1.2E-2</v>
          </cell>
          <cell r="M150">
            <v>2.9000000000000001E-2</v>
          </cell>
        </row>
        <row r="151">
          <cell r="A151" t="str">
            <v>d218</v>
          </cell>
          <cell r="B151">
            <v>218</v>
          </cell>
          <cell r="C151" t="str">
            <v>전선관</v>
          </cell>
          <cell r="D151" t="str">
            <v>ELP D : 40</v>
          </cell>
          <cell r="E151" t="str">
            <v>M</v>
          </cell>
          <cell r="F151">
            <v>500</v>
          </cell>
          <cell r="G151">
            <v>1.2E-2</v>
          </cell>
          <cell r="M151">
            <v>2.9000000000000001E-2</v>
          </cell>
        </row>
        <row r="152">
          <cell r="A152" t="str">
            <v>d219</v>
          </cell>
          <cell r="B152">
            <v>219</v>
          </cell>
          <cell r="C152" t="str">
            <v>전선관</v>
          </cell>
          <cell r="D152" t="str">
            <v>ELP D : 50</v>
          </cell>
          <cell r="E152" t="str">
            <v>M</v>
          </cell>
          <cell r="F152">
            <v>630</v>
          </cell>
          <cell r="G152">
            <v>1.2E-2</v>
          </cell>
          <cell r="M152">
            <v>2.9000000000000001E-2</v>
          </cell>
        </row>
        <row r="153">
          <cell r="A153" t="str">
            <v>d220</v>
          </cell>
          <cell r="B153">
            <v>220</v>
          </cell>
          <cell r="C153" t="str">
            <v>전선관</v>
          </cell>
          <cell r="D153" t="str">
            <v>ELP D : 65</v>
          </cell>
          <cell r="E153" t="str">
            <v>M</v>
          </cell>
          <cell r="F153">
            <v>925</v>
          </cell>
          <cell r="G153">
            <v>1.4999999999999999E-2</v>
          </cell>
          <cell r="M153">
            <v>3.5000000000000003E-2</v>
          </cell>
        </row>
        <row r="154">
          <cell r="A154" t="str">
            <v>d132</v>
          </cell>
          <cell r="B154">
            <v>132</v>
          </cell>
          <cell r="C154" t="str">
            <v>전선관</v>
          </cell>
          <cell r="D154" t="str">
            <v>HIPVC 16mm</v>
          </cell>
          <cell r="E154" t="str">
            <v>M</v>
          </cell>
          <cell r="F154">
            <v>235</v>
          </cell>
          <cell r="G154">
            <v>0.05</v>
          </cell>
        </row>
        <row r="155">
          <cell r="A155" t="str">
            <v>d133</v>
          </cell>
          <cell r="B155">
            <v>133</v>
          </cell>
          <cell r="C155" t="str">
            <v>전선관</v>
          </cell>
          <cell r="D155" t="str">
            <v>HIPVC 22mm</v>
          </cell>
          <cell r="E155" t="str">
            <v>M</v>
          </cell>
          <cell r="F155">
            <v>283</v>
          </cell>
          <cell r="G155">
            <v>0.06</v>
          </cell>
        </row>
        <row r="156">
          <cell r="A156" t="str">
            <v>d134</v>
          </cell>
          <cell r="B156">
            <v>134</v>
          </cell>
          <cell r="C156" t="str">
            <v>전선관</v>
          </cell>
          <cell r="D156" t="str">
            <v>HIPVC 28mm</v>
          </cell>
          <cell r="E156" t="str">
            <v>M</v>
          </cell>
          <cell r="F156">
            <v>548</v>
          </cell>
          <cell r="G156">
            <v>0.08</v>
          </cell>
        </row>
        <row r="157">
          <cell r="A157" t="str">
            <v>d135</v>
          </cell>
          <cell r="B157">
            <v>135</v>
          </cell>
          <cell r="C157" t="str">
            <v>전선관</v>
          </cell>
          <cell r="D157" t="str">
            <v>HIPVC 36mm</v>
          </cell>
          <cell r="E157" t="str">
            <v>M</v>
          </cell>
          <cell r="F157">
            <v>760</v>
          </cell>
          <cell r="G157">
            <v>0.01</v>
          </cell>
        </row>
        <row r="158">
          <cell r="A158" t="str">
            <v>d136</v>
          </cell>
          <cell r="B158">
            <v>136</v>
          </cell>
          <cell r="C158" t="str">
            <v>전선관</v>
          </cell>
          <cell r="D158" t="str">
            <v>HIPVC 42mm</v>
          </cell>
          <cell r="E158" t="str">
            <v>M</v>
          </cell>
          <cell r="F158">
            <v>996</v>
          </cell>
          <cell r="G158">
            <v>0.13</v>
          </cell>
        </row>
        <row r="159">
          <cell r="A159" t="str">
            <v>d137</v>
          </cell>
          <cell r="B159">
            <v>137</v>
          </cell>
          <cell r="C159" t="str">
            <v>전선관</v>
          </cell>
          <cell r="D159" t="str">
            <v>HIPVC 54mm</v>
          </cell>
          <cell r="E159" t="str">
            <v>M</v>
          </cell>
          <cell r="F159">
            <v>1413</v>
          </cell>
          <cell r="G159">
            <v>0.19</v>
          </cell>
        </row>
        <row r="160">
          <cell r="A160" t="str">
            <v>d138</v>
          </cell>
          <cell r="B160">
            <v>138</v>
          </cell>
          <cell r="C160" t="str">
            <v>전선관</v>
          </cell>
          <cell r="D160" t="str">
            <v>S/T 16mm</v>
          </cell>
          <cell r="E160" t="str">
            <v>M</v>
          </cell>
          <cell r="F160">
            <v>665</v>
          </cell>
          <cell r="G160">
            <v>0.08</v>
          </cell>
        </row>
        <row r="161">
          <cell r="A161" t="str">
            <v>d139</v>
          </cell>
          <cell r="B161">
            <v>139</v>
          </cell>
          <cell r="C161" t="str">
            <v>전선관</v>
          </cell>
          <cell r="D161" t="str">
            <v>S/T 22mm</v>
          </cell>
          <cell r="E161" t="str">
            <v>M</v>
          </cell>
          <cell r="F161">
            <v>852</v>
          </cell>
          <cell r="G161">
            <v>0.11</v>
          </cell>
        </row>
        <row r="162">
          <cell r="A162" t="str">
            <v>d140</v>
          </cell>
          <cell r="B162">
            <v>140</v>
          </cell>
          <cell r="C162" t="str">
            <v>전선관</v>
          </cell>
          <cell r="D162" t="str">
            <v>S/T 28mm</v>
          </cell>
          <cell r="E162" t="str">
            <v>M</v>
          </cell>
          <cell r="F162">
            <v>1112</v>
          </cell>
          <cell r="G162">
            <v>0.14000000000000001</v>
          </cell>
        </row>
        <row r="163">
          <cell r="A163" t="str">
            <v>d141</v>
          </cell>
          <cell r="B163">
            <v>141</v>
          </cell>
          <cell r="C163" t="str">
            <v>전선관</v>
          </cell>
          <cell r="D163" t="str">
            <v>S/T 36mm</v>
          </cell>
          <cell r="E163" t="str">
            <v>M</v>
          </cell>
          <cell r="F163">
            <v>1365</v>
          </cell>
          <cell r="G163">
            <v>0.2</v>
          </cell>
        </row>
        <row r="164">
          <cell r="A164" t="str">
            <v>d142</v>
          </cell>
          <cell r="B164">
            <v>142</v>
          </cell>
          <cell r="C164" t="str">
            <v>전선관</v>
          </cell>
          <cell r="D164" t="str">
            <v>S/T 42mm</v>
          </cell>
          <cell r="E164" t="str">
            <v>M</v>
          </cell>
          <cell r="F164">
            <v>1582</v>
          </cell>
          <cell r="G164">
            <v>0.25</v>
          </cell>
        </row>
        <row r="165">
          <cell r="A165" t="str">
            <v>d143</v>
          </cell>
          <cell r="B165">
            <v>143</v>
          </cell>
          <cell r="C165" t="str">
            <v>전선관</v>
          </cell>
          <cell r="D165" t="str">
            <v>S/T 54mm</v>
          </cell>
          <cell r="E165" t="str">
            <v>M</v>
          </cell>
          <cell r="F165">
            <v>2206</v>
          </cell>
          <cell r="G165">
            <v>0.34</v>
          </cell>
        </row>
        <row r="166">
          <cell r="A166" t="str">
            <v>d227</v>
          </cell>
          <cell r="B166">
            <v>143</v>
          </cell>
          <cell r="C166" t="str">
            <v>전선관</v>
          </cell>
          <cell r="D166" t="str">
            <v>S/T 104mm</v>
          </cell>
          <cell r="E166" t="str">
            <v>M</v>
          </cell>
          <cell r="F166">
            <v>5019</v>
          </cell>
          <cell r="G166">
            <v>0.71</v>
          </cell>
        </row>
        <row r="167">
          <cell r="A167" t="str">
            <v>d144</v>
          </cell>
          <cell r="B167">
            <v>144</v>
          </cell>
          <cell r="C167" t="str">
            <v>전화 콘센트</v>
          </cell>
          <cell r="D167" t="str">
            <v>4P</v>
          </cell>
          <cell r="E167" t="str">
            <v>EA</v>
          </cell>
          <cell r="F167">
            <v>730</v>
          </cell>
          <cell r="I167">
            <v>7.0000000000000007E-2</v>
          </cell>
        </row>
        <row r="168">
          <cell r="A168" t="str">
            <v>d145</v>
          </cell>
          <cell r="B168">
            <v>145</v>
          </cell>
          <cell r="C168" t="str">
            <v>접지 단자함(SUS)</v>
          </cell>
          <cell r="D168" t="str">
            <v>1 CCT</v>
          </cell>
          <cell r="E168" t="str">
            <v>EA</v>
          </cell>
          <cell r="F168">
            <v>70000</v>
          </cell>
          <cell r="G168">
            <v>0.66</v>
          </cell>
        </row>
        <row r="169">
          <cell r="A169" t="str">
            <v>d146</v>
          </cell>
          <cell r="B169">
            <v>146</v>
          </cell>
          <cell r="C169" t="str">
            <v>접지동봉</v>
          </cell>
          <cell r="D169" t="str">
            <v>ø18 x 2400</v>
          </cell>
          <cell r="E169" t="str">
            <v>본</v>
          </cell>
          <cell r="F169">
            <v>5300</v>
          </cell>
          <cell r="G169">
            <v>0.2</v>
          </cell>
          <cell r="M169">
            <v>0.1</v>
          </cell>
        </row>
        <row r="170">
          <cell r="A170" t="str">
            <v>d195</v>
          </cell>
          <cell r="B170">
            <v>195</v>
          </cell>
          <cell r="C170" t="str">
            <v>접지목</v>
          </cell>
          <cell r="D170" t="str">
            <v>100x100x1000</v>
          </cell>
          <cell r="E170" t="str">
            <v>EA</v>
          </cell>
          <cell r="F170">
            <v>30000</v>
          </cell>
        </row>
        <row r="171">
          <cell r="A171" t="str">
            <v>d147</v>
          </cell>
          <cell r="B171">
            <v>147</v>
          </cell>
          <cell r="C171" t="str">
            <v>접지저항 저감제</v>
          </cell>
          <cell r="D171" t="str">
            <v>아스판-M</v>
          </cell>
          <cell r="E171" t="str">
            <v>포</v>
          </cell>
          <cell r="F171">
            <v>15000</v>
          </cell>
        </row>
        <row r="172">
          <cell r="A172" t="str">
            <v>d148</v>
          </cell>
          <cell r="B172">
            <v>148</v>
          </cell>
          <cell r="C172" t="str">
            <v>정온전선</v>
          </cell>
          <cell r="D172" t="str">
            <v>15W/M 220V</v>
          </cell>
          <cell r="E172" t="str">
            <v>M</v>
          </cell>
          <cell r="F172">
            <v>5600</v>
          </cell>
          <cell r="G172">
            <v>0.4</v>
          </cell>
        </row>
        <row r="173">
          <cell r="A173" t="str">
            <v>d149</v>
          </cell>
          <cell r="B173">
            <v>149</v>
          </cell>
          <cell r="C173" t="str">
            <v>주택용 분전반</v>
          </cell>
          <cell r="D173" t="str">
            <v>ME-4회로</v>
          </cell>
          <cell r="E173" t="str">
            <v>면</v>
          </cell>
          <cell r="F173">
            <v>21000</v>
          </cell>
          <cell r="G173">
            <v>0.43</v>
          </cell>
        </row>
        <row r="174">
          <cell r="A174" t="str">
            <v>d152</v>
          </cell>
          <cell r="B174">
            <v>152</v>
          </cell>
          <cell r="C174" t="str">
            <v>중간 단자함</v>
          </cell>
          <cell r="D174" t="str">
            <v>SUS 10P</v>
          </cell>
          <cell r="E174" t="str">
            <v>EA</v>
          </cell>
          <cell r="F174">
            <v>24800</v>
          </cell>
          <cell r="I174">
            <v>0.55000000000000004</v>
          </cell>
          <cell r="M174">
            <v>0.45</v>
          </cell>
        </row>
        <row r="175">
          <cell r="A175" t="str">
            <v>d153</v>
          </cell>
          <cell r="B175">
            <v>153</v>
          </cell>
          <cell r="C175" t="str">
            <v>중간단자함</v>
          </cell>
          <cell r="D175" t="str">
            <v>SUS 20P</v>
          </cell>
          <cell r="E175" t="str">
            <v>EA</v>
          </cell>
          <cell r="F175">
            <v>27600</v>
          </cell>
          <cell r="I175">
            <v>0.55000000000000004</v>
          </cell>
          <cell r="M175">
            <v>0.45</v>
          </cell>
        </row>
        <row r="176">
          <cell r="A176" t="str">
            <v>d150</v>
          </cell>
          <cell r="B176">
            <v>150</v>
          </cell>
          <cell r="C176" t="str">
            <v>철재분전함(D:SUS)</v>
          </cell>
          <cell r="D176" t="str">
            <v>450x300x150</v>
          </cell>
          <cell r="E176" t="str">
            <v>EA</v>
          </cell>
          <cell r="F176">
            <v>18000</v>
          </cell>
        </row>
        <row r="177">
          <cell r="A177" t="str">
            <v>d151</v>
          </cell>
          <cell r="B177">
            <v>151</v>
          </cell>
          <cell r="C177" t="str">
            <v>철재분전함(D:SUS)</v>
          </cell>
          <cell r="D177" t="str">
            <v>450x360X180</v>
          </cell>
          <cell r="E177" t="str">
            <v>EA</v>
          </cell>
          <cell r="F177">
            <v>21000</v>
          </cell>
        </row>
        <row r="178">
          <cell r="A178" t="str">
            <v>d154</v>
          </cell>
          <cell r="B178">
            <v>154</v>
          </cell>
          <cell r="C178" t="str">
            <v>커버 나이프 S/W</v>
          </cell>
          <cell r="D178" t="str">
            <v>3P 30A</v>
          </cell>
          <cell r="E178" t="str">
            <v>EA</v>
          </cell>
          <cell r="F178">
            <v>2304</v>
          </cell>
          <cell r="G178">
            <v>0.2</v>
          </cell>
        </row>
        <row r="179">
          <cell r="A179" t="str">
            <v>d155</v>
          </cell>
          <cell r="B179">
            <v>155</v>
          </cell>
          <cell r="C179" t="str">
            <v>커버 나이프 S/W</v>
          </cell>
          <cell r="D179" t="str">
            <v>쌍투 3P30A</v>
          </cell>
          <cell r="E179" t="str">
            <v>EA</v>
          </cell>
          <cell r="F179">
            <v>3372</v>
          </cell>
          <cell r="G179">
            <v>0.24</v>
          </cell>
        </row>
        <row r="180">
          <cell r="A180" t="str">
            <v>d156</v>
          </cell>
          <cell r="B180">
            <v>156</v>
          </cell>
          <cell r="C180" t="str">
            <v>콘센트</v>
          </cell>
          <cell r="D180" t="str">
            <v>250V15A1구(무)</v>
          </cell>
          <cell r="E180" t="str">
            <v>EA</v>
          </cell>
          <cell r="F180">
            <v>820</v>
          </cell>
          <cell r="G180">
            <v>6.5000000000000002E-2</v>
          </cell>
        </row>
        <row r="181">
          <cell r="A181" t="str">
            <v>d157</v>
          </cell>
          <cell r="B181">
            <v>157</v>
          </cell>
          <cell r="C181" t="str">
            <v>콘센트</v>
          </cell>
          <cell r="D181" t="str">
            <v>250V15A2구(접)</v>
          </cell>
          <cell r="E181" t="str">
            <v>EA</v>
          </cell>
          <cell r="F181">
            <v>1045</v>
          </cell>
          <cell r="G181">
            <v>6.5000000000000002E-2</v>
          </cell>
        </row>
        <row r="182">
          <cell r="A182" t="str">
            <v>d158</v>
          </cell>
          <cell r="B182">
            <v>158</v>
          </cell>
          <cell r="C182" t="str">
            <v>타임머(24H)</v>
          </cell>
          <cell r="D182" t="str">
            <v>220V25A최소15분</v>
          </cell>
          <cell r="E182" t="str">
            <v>EA</v>
          </cell>
          <cell r="F182">
            <v>22600</v>
          </cell>
          <cell r="G182">
            <v>0.2</v>
          </cell>
        </row>
        <row r="183">
          <cell r="A183" t="str">
            <v>d165</v>
          </cell>
          <cell r="B183">
            <v>165</v>
          </cell>
          <cell r="C183" t="str">
            <v>통로유도등</v>
          </cell>
          <cell r="D183" t="str">
            <v>매입 10W 소형</v>
          </cell>
          <cell r="E183" t="str">
            <v>EA</v>
          </cell>
          <cell r="F183">
            <v>24500</v>
          </cell>
          <cell r="G183">
            <v>0.2</v>
          </cell>
        </row>
        <row r="184">
          <cell r="A184" t="str">
            <v>d194</v>
          </cell>
          <cell r="B184">
            <v>194</v>
          </cell>
          <cell r="C184" t="str">
            <v>통신용 접지함</v>
          </cell>
          <cell r="D184" t="str">
            <v>아크릴 5t</v>
          </cell>
          <cell r="E184" t="str">
            <v>EA</v>
          </cell>
          <cell r="F184">
            <v>130000</v>
          </cell>
          <cell r="G184">
            <v>0.66</v>
          </cell>
        </row>
        <row r="185">
          <cell r="A185" t="str">
            <v>d199</v>
          </cell>
          <cell r="B185">
            <v>199</v>
          </cell>
          <cell r="C185" t="str">
            <v>통합분전반</v>
          </cell>
          <cell r="D185" t="str">
            <v>ATS 200A 3Ø4W</v>
          </cell>
          <cell r="E185" t="str">
            <v>면</v>
          </cell>
          <cell r="F185">
            <v>0</v>
          </cell>
          <cell r="G185">
            <v>0.92200000000000004</v>
          </cell>
        </row>
        <row r="186">
          <cell r="A186" t="str">
            <v>d159</v>
          </cell>
          <cell r="B186">
            <v>159</v>
          </cell>
          <cell r="C186" t="str">
            <v>파이프 행거</v>
          </cell>
          <cell r="D186" t="str">
            <v>16C</v>
          </cell>
          <cell r="E186" t="str">
            <v>EA</v>
          </cell>
          <cell r="F186">
            <v>435</v>
          </cell>
        </row>
        <row r="187">
          <cell r="A187" t="str">
            <v>d160</v>
          </cell>
          <cell r="B187">
            <v>160</v>
          </cell>
          <cell r="C187" t="str">
            <v>파이프 행거</v>
          </cell>
          <cell r="D187" t="str">
            <v>22C</v>
          </cell>
          <cell r="E187" t="str">
            <v>EA</v>
          </cell>
          <cell r="F187">
            <v>445</v>
          </cell>
        </row>
        <row r="188">
          <cell r="A188" t="str">
            <v>d161</v>
          </cell>
          <cell r="B188">
            <v>161</v>
          </cell>
          <cell r="C188" t="str">
            <v>파이프 행거</v>
          </cell>
          <cell r="D188" t="str">
            <v>28C</v>
          </cell>
          <cell r="E188" t="str">
            <v>EA</v>
          </cell>
          <cell r="F188">
            <v>457</v>
          </cell>
        </row>
        <row r="189">
          <cell r="A189" t="str">
            <v>d162</v>
          </cell>
          <cell r="B189">
            <v>162</v>
          </cell>
          <cell r="C189" t="str">
            <v>파이프 행거</v>
          </cell>
          <cell r="D189" t="str">
            <v>36C</v>
          </cell>
          <cell r="E189" t="str">
            <v>EA</v>
          </cell>
          <cell r="F189">
            <v>595</v>
          </cell>
        </row>
        <row r="190">
          <cell r="A190" t="str">
            <v>d163</v>
          </cell>
          <cell r="B190">
            <v>163</v>
          </cell>
          <cell r="C190" t="str">
            <v>파이프 행거</v>
          </cell>
          <cell r="D190" t="str">
            <v>42C</v>
          </cell>
          <cell r="E190" t="str">
            <v>EA</v>
          </cell>
          <cell r="F190">
            <v>658</v>
          </cell>
        </row>
        <row r="191">
          <cell r="A191" t="str">
            <v>d164</v>
          </cell>
          <cell r="B191">
            <v>164</v>
          </cell>
          <cell r="C191" t="str">
            <v>파이프 행거</v>
          </cell>
          <cell r="D191" t="str">
            <v>54C</v>
          </cell>
          <cell r="E191" t="str">
            <v>EA</v>
          </cell>
          <cell r="F191">
            <v>786</v>
          </cell>
        </row>
        <row r="192">
          <cell r="A192" t="str">
            <v>d166</v>
          </cell>
          <cell r="B192">
            <v>166</v>
          </cell>
          <cell r="C192" t="str">
            <v>표시등</v>
          </cell>
          <cell r="D192" t="str">
            <v>DC 24V (IL-D24)</v>
          </cell>
          <cell r="E192" t="str">
            <v>EA</v>
          </cell>
          <cell r="F192">
            <v>1000</v>
          </cell>
          <cell r="G192">
            <v>0.2</v>
          </cell>
        </row>
        <row r="193">
          <cell r="A193" t="str">
            <v>d167</v>
          </cell>
          <cell r="B193">
            <v>167</v>
          </cell>
          <cell r="C193" t="str">
            <v>풀박스</v>
          </cell>
          <cell r="D193" t="str">
            <v>200x200x100</v>
          </cell>
          <cell r="E193" t="str">
            <v>EA</v>
          </cell>
          <cell r="F193">
            <v>2790</v>
          </cell>
          <cell r="G193">
            <v>0.66</v>
          </cell>
        </row>
        <row r="194">
          <cell r="A194" t="str">
            <v>d168</v>
          </cell>
          <cell r="B194">
            <v>168</v>
          </cell>
          <cell r="C194" t="str">
            <v>풀박스</v>
          </cell>
          <cell r="D194" t="str">
            <v>250x250x150</v>
          </cell>
          <cell r="E194" t="str">
            <v>EA</v>
          </cell>
          <cell r="F194">
            <v>4500</v>
          </cell>
          <cell r="G194">
            <v>0.66</v>
          </cell>
        </row>
        <row r="195">
          <cell r="A195" t="str">
            <v>d169</v>
          </cell>
          <cell r="B195">
            <v>169</v>
          </cell>
          <cell r="C195" t="str">
            <v>풀박스</v>
          </cell>
          <cell r="D195" t="str">
            <v>300x300x150</v>
          </cell>
          <cell r="E195" t="str">
            <v>EA</v>
          </cell>
          <cell r="F195">
            <v>5180</v>
          </cell>
          <cell r="G195">
            <v>0.66</v>
          </cell>
        </row>
        <row r="196">
          <cell r="A196" t="str">
            <v>d170</v>
          </cell>
          <cell r="B196">
            <v>170</v>
          </cell>
          <cell r="C196" t="str">
            <v>풀박스</v>
          </cell>
          <cell r="D196" t="str">
            <v>FRP 200x150x130</v>
          </cell>
          <cell r="E196" t="str">
            <v>EA</v>
          </cell>
          <cell r="F196">
            <v>35000</v>
          </cell>
          <cell r="G196">
            <v>0.66</v>
          </cell>
        </row>
        <row r="197">
          <cell r="A197" t="str">
            <v>d171</v>
          </cell>
          <cell r="B197">
            <v>171</v>
          </cell>
          <cell r="C197" t="str">
            <v>피난구 유도등</v>
          </cell>
          <cell r="D197" t="str">
            <v>노출 10W 소형</v>
          </cell>
          <cell r="E197" t="str">
            <v>EA</v>
          </cell>
          <cell r="F197">
            <v>24500</v>
          </cell>
          <cell r="G197">
            <v>0.2</v>
          </cell>
        </row>
        <row r="198">
          <cell r="A198" t="str">
            <v>d181</v>
          </cell>
          <cell r="B198">
            <v>181</v>
          </cell>
          <cell r="C198" t="str">
            <v>행거볼트</v>
          </cell>
          <cell r="D198" t="str">
            <v>Ø9x1000</v>
          </cell>
          <cell r="E198" t="str">
            <v>EA</v>
          </cell>
          <cell r="F198">
            <v>404</v>
          </cell>
        </row>
        <row r="199">
          <cell r="A199" t="str">
            <v>d172</v>
          </cell>
          <cell r="B199">
            <v>172</v>
          </cell>
          <cell r="C199" t="str">
            <v>형광등기구(매입루바)</v>
          </cell>
          <cell r="D199" t="str">
            <v>220(V)x20Wx2등 전자</v>
          </cell>
          <cell r="E199" t="str">
            <v>SET</v>
          </cell>
          <cell r="F199">
            <v>34260</v>
          </cell>
          <cell r="G199">
            <v>0.3</v>
          </cell>
        </row>
        <row r="200">
          <cell r="A200" t="str">
            <v>d173</v>
          </cell>
          <cell r="B200">
            <v>173</v>
          </cell>
          <cell r="C200" t="str">
            <v>형광등기구(매입루바)</v>
          </cell>
          <cell r="D200" t="str">
            <v>220(V)x40Wx2등 전자</v>
          </cell>
          <cell r="E200" t="str">
            <v>SET</v>
          </cell>
          <cell r="F200">
            <v>43120</v>
          </cell>
          <cell r="G200">
            <v>0.46</v>
          </cell>
        </row>
        <row r="201">
          <cell r="A201" t="str">
            <v>d174</v>
          </cell>
          <cell r="B201">
            <v>174</v>
          </cell>
          <cell r="C201" t="str">
            <v>형광등기구(안전증)</v>
          </cell>
          <cell r="D201" t="str">
            <v>220(V)x20Wx2등</v>
          </cell>
          <cell r="E201" t="str">
            <v>SET</v>
          </cell>
          <cell r="F201">
            <v>80000</v>
          </cell>
          <cell r="G201">
            <v>0.6</v>
          </cell>
        </row>
        <row r="202">
          <cell r="A202" t="str">
            <v>d175</v>
          </cell>
          <cell r="B202">
            <v>175</v>
          </cell>
          <cell r="C202" t="str">
            <v>형광등기구(안전증)</v>
          </cell>
          <cell r="D202" t="str">
            <v>220(V)x40Wx2등</v>
          </cell>
          <cell r="E202" t="str">
            <v>SET</v>
          </cell>
          <cell r="F202">
            <v>114000</v>
          </cell>
          <cell r="G202">
            <v>0.92</v>
          </cell>
        </row>
        <row r="203">
          <cell r="A203" t="str">
            <v>d215</v>
          </cell>
          <cell r="B203">
            <v>215</v>
          </cell>
          <cell r="C203" t="str">
            <v>형광등기구(직부)</v>
          </cell>
          <cell r="D203" t="str">
            <v>220(V)x20Wx2등 전자</v>
          </cell>
          <cell r="E203" t="str">
            <v>SET</v>
          </cell>
          <cell r="F203">
            <v>29000</v>
          </cell>
          <cell r="G203">
            <v>0.19500000000000001</v>
          </cell>
        </row>
        <row r="204">
          <cell r="A204" t="str">
            <v>d216</v>
          </cell>
          <cell r="B204">
            <v>216</v>
          </cell>
          <cell r="C204" t="str">
            <v>형광등기구(직부)</v>
          </cell>
          <cell r="D204" t="str">
            <v>220(V)x40Wx2등 전자</v>
          </cell>
          <cell r="E204" t="str">
            <v>SET</v>
          </cell>
          <cell r="F204">
            <v>39400</v>
          </cell>
          <cell r="G204">
            <v>0.30499999999999999</v>
          </cell>
        </row>
        <row r="205">
          <cell r="A205" t="str">
            <v>d176</v>
          </cell>
          <cell r="B205">
            <v>176</v>
          </cell>
          <cell r="C205" t="str">
            <v>형광램프</v>
          </cell>
          <cell r="D205" t="str">
            <v>220(V)x20W</v>
          </cell>
          <cell r="E205" t="str">
            <v>EA</v>
          </cell>
          <cell r="F205">
            <v>650</v>
          </cell>
        </row>
        <row r="206">
          <cell r="A206" t="str">
            <v>d177</v>
          </cell>
          <cell r="B206">
            <v>177</v>
          </cell>
          <cell r="C206" t="str">
            <v>형광램프</v>
          </cell>
          <cell r="D206" t="str">
            <v>220(V)x40W</v>
          </cell>
          <cell r="E206" t="str">
            <v>EA</v>
          </cell>
          <cell r="F206">
            <v>1050</v>
          </cell>
        </row>
        <row r="207">
          <cell r="A207" t="str">
            <v>d178</v>
          </cell>
          <cell r="B207">
            <v>178</v>
          </cell>
          <cell r="C207" t="str">
            <v>환풍기(일반용)</v>
          </cell>
          <cell r="D207" t="str">
            <v>300 x 300</v>
          </cell>
          <cell r="E207" t="str">
            <v>EA</v>
          </cell>
          <cell r="F207">
            <v>16000</v>
          </cell>
          <cell r="G207">
            <v>0.48</v>
          </cell>
        </row>
        <row r="208">
          <cell r="A208" t="str">
            <v>d179</v>
          </cell>
          <cell r="B208">
            <v>179</v>
          </cell>
          <cell r="C208" t="str">
            <v>황동 볼트너트</v>
          </cell>
          <cell r="D208" t="str">
            <v>M10 x 40</v>
          </cell>
          <cell r="E208" t="str">
            <v>EA</v>
          </cell>
          <cell r="F208">
            <v>183</v>
          </cell>
        </row>
        <row r="209">
          <cell r="A209" t="str">
            <v>d180</v>
          </cell>
          <cell r="B209">
            <v>180</v>
          </cell>
          <cell r="C209" t="str">
            <v>황동 평와셔</v>
          </cell>
          <cell r="D209" t="str">
            <v>3/8" 0.5mm</v>
          </cell>
          <cell r="E209" t="str">
            <v>EA</v>
          </cell>
          <cell r="F209">
            <v>6.5</v>
          </cell>
        </row>
        <row r="210">
          <cell r="A210" t="str">
            <v>d209</v>
          </cell>
          <cell r="B210">
            <v>209</v>
          </cell>
          <cell r="C210" t="str">
            <v>휘 발 유</v>
          </cell>
          <cell r="E210" t="str">
            <v>ℓ</v>
          </cell>
          <cell r="F210">
            <v>0</v>
          </cell>
        </row>
        <row r="211">
          <cell r="A211" t="str">
            <v>d196</v>
          </cell>
          <cell r="B211">
            <v>196</v>
          </cell>
          <cell r="C211" t="str">
            <v>BASE PLAT</v>
          </cell>
          <cell r="D211" t="str">
            <v>200x200x9t</v>
          </cell>
          <cell r="E211" t="str">
            <v>EA</v>
          </cell>
          <cell r="F211">
            <v>1500</v>
          </cell>
        </row>
        <row r="212">
          <cell r="A212" t="str">
            <v>d182</v>
          </cell>
          <cell r="B212">
            <v>182</v>
          </cell>
          <cell r="C212" t="str">
            <v>BOX 및 DOOR</v>
          </cell>
          <cell r="D212" t="str">
            <v>400x500x200x1.5t</v>
          </cell>
          <cell r="E212" t="str">
            <v>SET</v>
          </cell>
          <cell r="F212">
            <v>40000</v>
          </cell>
        </row>
        <row r="213">
          <cell r="A213" t="str">
            <v>d183</v>
          </cell>
          <cell r="B213">
            <v>183</v>
          </cell>
          <cell r="C213" t="str">
            <v>BOX COVER</v>
          </cell>
          <cell r="D213" t="str">
            <v>평 4각 &amp; 8각</v>
          </cell>
          <cell r="E213" t="str">
            <v>EA</v>
          </cell>
          <cell r="F213">
            <v>160</v>
          </cell>
        </row>
        <row r="214">
          <cell r="A214" t="str">
            <v>d184</v>
          </cell>
          <cell r="B214">
            <v>184</v>
          </cell>
          <cell r="C214" t="str">
            <v>CABLE TRAY</v>
          </cell>
          <cell r="D214" t="str">
            <v>STRAIGHT TRAY W300</v>
          </cell>
          <cell r="E214" t="str">
            <v>M</v>
          </cell>
          <cell r="F214">
            <v>11340</v>
          </cell>
          <cell r="G214">
            <v>0.28499999999999998</v>
          </cell>
        </row>
        <row r="215">
          <cell r="A215" t="str">
            <v>d198</v>
          </cell>
          <cell r="B215">
            <v>198</v>
          </cell>
          <cell r="C215" t="str">
            <v>DOWN LIGHT</v>
          </cell>
          <cell r="D215" t="str">
            <v>5" 반사매입형</v>
          </cell>
          <cell r="E215" t="str">
            <v>EA</v>
          </cell>
          <cell r="F215">
            <v>6000</v>
          </cell>
          <cell r="G215">
            <v>0.245</v>
          </cell>
        </row>
        <row r="216">
          <cell r="A216" t="str">
            <v>d187</v>
          </cell>
          <cell r="B216">
            <v>187</v>
          </cell>
          <cell r="C216" t="str">
            <v>ELB</v>
          </cell>
          <cell r="D216" t="str">
            <v>2P 30AF 20AT</v>
          </cell>
          <cell r="E216" t="str">
            <v>EA</v>
          </cell>
          <cell r="F216">
            <v>5300</v>
          </cell>
          <cell r="G216">
            <v>0.19</v>
          </cell>
        </row>
        <row r="217">
          <cell r="A217" t="str">
            <v>d188</v>
          </cell>
          <cell r="B217">
            <v>188</v>
          </cell>
          <cell r="C217" t="str">
            <v>NFB</v>
          </cell>
          <cell r="D217" t="str">
            <v>ABE 3P 50AF 30AT</v>
          </cell>
          <cell r="E217" t="str">
            <v>EA</v>
          </cell>
          <cell r="F217">
            <v>21800</v>
          </cell>
          <cell r="G217">
            <v>0.26</v>
          </cell>
        </row>
        <row r="218">
          <cell r="A218" t="str">
            <v>d231</v>
          </cell>
          <cell r="B218">
            <v>231</v>
          </cell>
          <cell r="C218" t="str">
            <v>NFB</v>
          </cell>
          <cell r="D218" t="str">
            <v>ABS 4P 400AF 400AT</v>
          </cell>
          <cell r="E218" t="str">
            <v>EA</v>
          </cell>
          <cell r="F218">
            <v>250000</v>
          </cell>
          <cell r="G218">
            <v>0.68</v>
          </cell>
        </row>
        <row r="219">
          <cell r="A219" t="str">
            <v>d189</v>
          </cell>
          <cell r="B219">
            <v>189</v>
          </cell>
          <cell r="C219" t="str">
            <v>NFB</v>
          </cell>
          <cell r="D219" t="str">
            <v>ABS 4P 100AF 75AT</v>
          </cell>
          <cell r="E219" t="str">
            <v>EA</v>
          </cell>
          <cell r="F219">
            <v>51100</v>
          </cell>
          <cell r="G219">
            <v>0.46800000000000003</v>
          </cell>
        </row>
        <row r="220">
          <cell r="A220" t="str">
            <v>d190</v>
          </cell>
          <cell r="B220">
            <v>190</v>
          </cell>
          <cell r="C220" t="str">
            <v>NFB</v>
          </cell>
          <cell r="D220" t="str">
            <v>ABS 4P 50AF 50AT</v>
          </cell>
          <cell r="E220" t="str">
            <v>EA</v>
          </cell>
          <cell r="F220">
            <v>28200</v>
          </cell>
          <cell r="G220">
            <v>0.33800000000000002</v>
          </cell>
        </row>
        <row r="221">
          <cell r="A221" t="str">
            <v>d191</v>
          </cell>
          <cell r="B221">
            <v>191</v>
          </cell>
          <cell r="C221" t="str">
            <v>T.V 유니트</v>
          </cell>
          <cell r="D221" t="str">
            <v>AUV 7-3-3</v>
          </cell>
          <cell r="E221" t="str">
            <v>조</v>
          </cell>
          <cell r="F221">
            <v>1700</v>
          </cell>
          <cell r="I221">
            <v>0.08</v>
          </cell>
        </row>
        <row r="222">
          <cell r="A222" t="str">
            <v>d192</v>
          </cell>
          <cell r="B222">
            <v>192</v>
          </cell>
          <cell r="C222" t="str">
            <v>U-CHANNEL</v>
          </cell>
          <cell r="D222" t="str">
            <v>42x25x2.3t</v>
          </cell>
          <cell r="E222" t="str">
            <v>M</v>
          </cell>
          <cell r="F222">
            <v>2800</v>
          </cell>
        </row>
        <row r="223">
          <cell r="A223" t="str">
            <v>d193</v>
          </cell>
          <cell r="B223">
            <v>193</v>
          </cell>
          <cell r="C223" t="str">
            <v>U-CHANNEL</v>
          </cell>
          <cell r="D223" t="str">
            <v>42x42x2.6t</v>
          </cell>
          <cell r="E223" t="str">
            <v>M</v>
          </cell>
          <cell r="F223">
            <v>3000</v>
          </cell>
        </row>
        <row r="224">
          <cell r="A224" t="str">
            <v>d204</v>
          </cell>
          <cell r="F224">
            <v>0</v>
          </cell>
        </row>
        <row r="225">
          <cell r="A225" t="str">
            <v>d201</v>
          </cell>
          <cell r="B225">
            <v>201</v>
          </cell>
          <cell r="C225" t="str">
            <v>부속품율</v>
          </cell>
          <cell r="D225" t="str">
            <v>전선관의 15%</v>
          </cell>
          <cell r="E225" t="str">
            <v>식</v>
          </cell>
          <cell r="F225">
            <v>0</v>
          </cell>
        </row>
        <row r="226">
          <cell r="A226" t="str">
            <v>d202</v>
          </cell>
          <cell r="B226">
            <v>202</v>
          </cell>
          <cell r="C226" t="str">
            <v>잡자재비</v>
          </cell>
          <cell r="D226" t="str">
            <v>배관.배선의 2%</v>
          </cell>
          <cell r="E226" t="str">
            <v>식</v>
          </cell>
          <cell r="F226">
            <v>0</v>
          </cell>
        </row>
        <row r="227">
          <cell r="A227" t="str">
            <v>d203</v>
          </cell>
          <cell r="B227">
            <v>203</v>
          </cell>
          <cell r="C227" t="str">
            <v>공구손료</v>
          </cell>
          <cell r="D227" t="str">
            <v>인건비의 3%</v>
          </cell>
          <cell r="E227" t="str">
            <v>식</v>
          </cell>
          <cell r="F227">
            <v>0</v>
          </cell>
        </row>
        <row r="228">
          <cell r="F228">
            <v>0</v>
          </cell>
        </row>
        <row r="229">
          <cell r="A229" t="str">
            <v>d221</v>
          </cell>
          <cell r="B229">
            <v>221</v>
          </cell>
          <cell r="C229" t="str">
            <v>케이블 덕트(W/C)</v>
          </cell>
          <cell r="D229" t="str">
            <v>W 200 x 150</v>
          </cell>
          <cell r="E229" t="str">
            <v>M</v>
          </cell>
          <cell r="F229">
            <v>19000</v>
          </cell>
          <cell r="G229">
            <v>0.5</v>
          </cell>
        </row>
        <row r="230">
          <cell r="A230" t="str">
            <v>d222</v>
          </cell>
          <cell r="B230">
            <v>222</v>
          </cell>
          <cell r="C230" t="str">
            <v>케이블 덕트(W/C)</v>
          </cell>
          <cell r="D230" t="str">
            <v>W 300 x 150</v>
          </cell>
          <cell r="E230" t="str">
            <v>M</v>
          </cell>
          <cell r="F230">
            <v>20560</v>
          </cell>
          <cell r="G230">
            <v>0.5</v>
          </cell>
        </row>
        <row r="231">
          <cell r="A231" t="str">
            <v>d223</v>
          </cell>
          <cell r="B231">
            <v>223</v>
          </cell>
          <cell r="C231" t="str">
            <v>수평용 엘보</v>
          </cell>
          <cell r="D231" t="str">
            <v>W 200 x 150</v>
          </cell>
          <cell r="E231" t="str">
            <v>EA</v>
          </cell>
          <cell r="F231">
            <v>14190</v>
          </cell>
          <cell r="G231">
            <v>0.5</v>
          </cell>
        </row>
        <row r="232">
          <cell r="A232" t="str">
            <v>d224</v>
          </cell>
          <cell r="B232">
            <v>224</v>
          </cell>
          <cell r="C232" t="str">
            <v>수평용 엘보</v>
          </cell>
          <cell r="D232" t="str">
            <v>W 300 x 150</v>
          </cell>
          <cell r="E232" t="str">
            <v>EA</v>
          </cell>
          <cell r="F232">
            <v>16200</v>
          </cell>
          <cell r="G232">
            <v>0.5</v>
          </cell>
        </row>
        <row r="233">
          <cell r="A233" t="str">
            <v>d225</v>
          </cell>
          <cell r="B233">
            <v>225</v>
          </cell>
          <cell r="C233" t="str">
            <v>수직용 엘보</v>
          </cell>
          <cell r="D233" t="str">
            <v>W 200 x 150</v>
          </cell>
          <cell r="E233" t="str">
            <v>EA</v>
          </cell>
          <cell r="F233">
            <v>13500</v>
          </cell>
          <cell r="G233">
            <v>0.5</v>
          </cell>
        </row>
        <row r="234">
          <cell r="A234" t="str">
            <v>d226</v>
          </cell>
          <cell r="B234">
            <v>226</v>
          </cell>
          <cell r="C234" t="str">
            <v>수직용 엘보</v>
          </cell>
          <cell r="D234" t="str">
            <v>W 300 x 150</v>
          </cell>
          <cell r="E234" t="str">
            <v>EA</v>
          </cell>
          <cell r="F234">
            <v>14180</v>
          </cell>
          <cell r="G234">
            <v>0.5</v>
          </cell>
        </row>
        <row r="235">
          <cell r="A235" t="str">
            <v>d232</v>
          </cell>
          <cell r="B235">
            <v>232</v>
          </cell>
        </row>
      </sheetData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 "/>
      <sheetName val="재료비"/>
      <sheetName val="노무비"/>
      <sheetName val="경비"/>
      <sheetName val="추산가 산출근거"/>
    </sheetNames>
    <sheetDataSet>
      <sheetData sheetId="0"/>
      <sheetData sheetId="1">
        <row r="2">
          <cell r="I2" t="e">
            <v>#REF!</v>
          </cell>
        </row>
      </sheetData>
      <sheetData sheetId="2">
        <row r="29">
          <cell r="F29">
            <v>57912905</v>
          </cell>
        </row>
        <row r="31">
          <cell r="F31">
            <v>8686936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단가"/>
      <sheetName val="XXXXXX"/>
      <sheetName val="VXXX"/>
      <sheetName val="진짜내역"/>
      <sheetName val="총괄"/>
      <sheetName val="집계"/>
      <sheetName val="내역"/>
      <sheetName val="공량집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전시원"/>
      <sheetName val="전시내"/>
      <sheetName val="Sheet1"/>
      <sheetName val="Sheet2"/>
      <sheetName val="Sheet3"/>
      <sheetName val="표"/>
      <sheetName val="목"/>
      <sheetName val="설"/>
      <sheetName val="일"/>
      <sheetName val="일집표"/>
      <sheetName val="일위표"/>
      <sheetName val="수표"/>
      <sheetName val="원가"/>
      <sheetName val="집계표"/>
      <sheetName val="내역서(내부)"/>
      <sheetName val="내역서"/>
      <sheetName val="일위대가"/>
      <sheetName val="단가산출서"/>
      <sheetName val="중기사용료"/>
      <sheetName val="재료단가"/>
      <sheetName val="노임단가"/>
      <sheetName val="총경기장별내역서(10-11)"/>
      <sheetName val="경기장별내역서(12-107)"/>
      <sheetName val="일위대가목록"/>
      <sheetName val="1차 내역서"/>
      <sheetName val="한강운반비"/>
      <sheetName val="공통(20-91)"/>
      <sheetName val="사당"/>
      <sheetName val="원가 (2)"/>
      <sheetName val="물가"/>
      <sheetName val="백암비스타내역"/>
      <sheetName val="직재"/>
      <sheetName val="6PILE  (돌출)"/>
      <sheetName val="일위대가(4층원격)"/>
      <sheetName val="차액보증"/>
      <sheetName val="입찰안"/>
      <sheetName val="견적서"/>
      <sheetName val="기초내역서"/>
      <sheetName val="수량산출"/>
      <sheetName val="대가목록표"/>
      <sheetName val="#REF"/>
      <sheetName val="을"/>
      <sheetName val="부대공"/>
      <sheetName val="포장공"/>
      <sheetName val="토공"/>
      <sheetName val="철거산출근거"/>
      <sheetName val="J直材4"/>
      <sheetName val="98지급계획"/>
      <sheetName val="현장"/>
      <sheetName val="2공구산출내역"/>
      <sheetName val="내역서2안"/>
      <sheetName val="품셈TABLE"/>
      <sheetName val="토목공사일반"/>
      <sheetName val="공통가설"/>
      <sheetName val="사급자재(1단계)"/>
      <sheetName val="설계서(표지)"/>
      <sheetName val="원가계산서"/>
      <sheetName val="추가대화"/>
      <sheetName val="공사현황"/>
      <sheetName val="JUCK"/>
      <sheetName val="단가조사"/>
      <sheetName val="금액내역서"/>
      <sheetName val="소방사항"/>
      <sheetName val="교통대책내역"/>
      <sheetName val="DATE"/>
      <sheetName val="산출근거"/>
      <sheetName val="자재단가리스트"/>
      <sheetName val="패널"/>
      <sheetName val="계양가시설"/>
      <sheetName val="노무"/>
      <sheetName val="공사개요"/>
      <sheetName val="실행내역"/>
      <sheetName val="현장경비"/>
      <sheetName val="평가데이터"/>
      <sheetName val="노무비"/>
      <sheetName val="재료비"/>
      <sheetName val="아파트 내역"/>
      <sheetName val="N賃率-職"/>
      <sheetName val="도급FORM"/>
      <sheetName val="초기화면"/>
      <sheetName val="관급자재"/>
      <sheetName val="TANK견적대지"/>
      <sheetName val="일위"/>
      <sheetName val="인건-측정"/>
      <sheetName val="대상공사(조달청)"/>
      <sheetName val="자료(통합)"/>
      <sheetName val="내역서총집계표"/>
      <sheetName val="공사예산하조서(O.K)"/>
      <sheetName val="기계경비(시간당)"/>
      <sheetName val="램머"/>
      <sheetName val="파일의이용"/>
      <sheetName val="설계명세서 (장비)"/>
      <sheetName val="기본일위"/>
      <sheetName val="BID"/>
      <sheetName val="내역서(설비+소방)"/>
      <sheetName val="전체"/>
      <sheetName val="골조시행"/>
      <sheetName val="첨부1"/>
      <sheetName val="부재리스트"/>
      <sheetName val="별표"/>
      <sheetName val="KIM"/>
      <sheetName val="건축원가"/>
      <sheetName val="NEGO"/>
      <sheetName val="BCK3672"/>
      <sheetName val="설계내역서"/>
      <sheetName val="2공구하도급내역서"/>
      <sheetName val="중기조종사 단위단가"/>
      <sheetName val="요율"/>
      <sheetName val="2000.11월설계내역"/>
      <sheetName val="인테리어내역"/>
      <sheetName val="자  재"/>
      <sheetName val="건축외주"/>
      <sheetName val="갑지(추정)"/>
      <sheetName val="토목"/>
      <sheetName val="2006년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작비추산총괄표"/>
      <sheetName val="총괄표"/>
      <sheetName val="추산가 산출근거"/>
      <sheetName val="Module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"/>
      <sheetName val="총괄표"/>
      <sheetName val="재료비"/>
      <sheetName val="추산가 산출근거"/>
      <sheetName val="Module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일위대가목차"/>
      <sheetName val="내역"/>
      <sheetName val="#REF"/>
      <sheetName val="J直材4"/>
      <sheetName val="기본일위"/>
      <sheetName val="I一般比"/>
      <sheetName val="재료"/>
      <sheetName val="현장"/>
      <sheetName val="식재인부"/>
      <sheetName val="단가조사"/>
      <sheetName val="기본단가표"/>
      <sheetName val="N賃率-職"/>
      <sheetName val="영창26"/>
      <sheetName val="적용토목"/>
      <sheetName val="MAIN_TABLE"/>
      <sheetName val="교통대책내역"/>
      <sheetName val="백암비스타내역"/>
      <sheetName val="골재산출"/>
      <sheetName val="기초내역서"/>
      <sheetName val="수량산출"/>
      <sheetName val="대가목록표"/>
      <sheetName val="공사비총괄표"/>
      <sheetName val="기초자료"/>
      <sheetName val="3BL공동구 수량"/>
      <sheetName val="건축내역"/>
      <sheetName val="KKK"/>
      <sheetName val="출자한도"/>
      <sheetName val="본공사"/>
      <sheetName val="설직재-1"/>
      <sheetName val="101동"/>
      <sheetName val="2000년1차"/>
      <sheetName val="2000전체분"/>
      <sheetName val="예산M11A"/>
      <sheetName val="요율"/>
      <sheetName val="갑지"/>
      <sheetName val="실행"/>
      <sheetName val="갑지(추정)"/>
      <sheetName val="경산"/>
      <sheetName val="일대-1"/>
      <sheetName val="공사개요(서광주)"/>
      <sheetName val="대공종"/>
      <sheetName val="설계서"/>
      <sheetName val="단가산출"/>
      <sheetName val="산근"/>
      <sheetName val="금액내역서"/>
      <sheetName val="원가 (2)"/>
      <sheetName val="AIR SHOWER(3인용)"/>
      <sheetName val="자료"/>
      <sheetName val="총괄표"/>
      <sheetName val="차수공개요"/>
      <sheetName val="조명율표"/>
      <sheetName val="본체"/>
      <sheetName val="5공철탑검토표"/>
      <sheetName val="4공철탑검토"/>
      <sheetName val="예산"/>
      <sheetName val="Customer Databas"/>
      <sheetName val="스포회원매출"/>
      <sheetName val="철탑공사"/>
      <sheetName val="물가자료"/>
      <sheetName val="CTEMCOST"/>
      <sheetName val="asd"/>
      <sheetName val="6PILE  (돌출)"/>
      <sheetName val="지하"/>
      <sheetName val="산출내역서"/>
      <sheetName val="도급기성"/>
      <sheetName val="설비단가표"/>
      <sheetName val="교각별철근수량집계표"/>
      <sheetName val="산출근거"/>
      <sheetName val="지질조사"/>
      <sheetName val="코드표"/>
      <sheetName val="재료비노무비"/>
      <sheetName val="당초"/>
      <sheetName val="노임"/>
      <sheetName val="NYS"/>
      <sheetName val="단중표"/>
      <sheetName val="Sheet6"/>
      <sheetName val="LF자재단가"/>
      <sheetName val="자재단가"/>
      <sheetName val="위생설비"/>
      <sheetName val="토공(우물통,기타) "/>
      <sheetName val="토공 total"/>
      <sheetName val="조명시설"/>
      <sheetName val="식생블럭단위수량"/>
      <sheetName val="노임,재료비"/>
      <sheetName val="을"/>
      <sheetName val="연부97-1"/>
      <sheetName val="조건표"/>
      <sheetName val="자갈,시멘트,모래산출"/>
      <sheetName val="데이타"/>
      <sheetName val="DATA"/>
      <sheetName val="Sheet5"/>
      <sheetName val="LEGEND"/>
      <sheetName val="오수공수량집계표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48전력선로일위"/>
      <sheetName val="단가표"/>
      <sheetName val="교수설계"/>
      <sheetName val="공사직종별노임"/>
      <sheetName val="시설물기초"/>
      <sheetName val=" 냉각수펌프"/>
      <sheetName val="AHU집계"/>
      <sheetName val="1.설계조건"/>
      <sheetName val=" HIT-&gt;HMC 견적(3900)"/>
      <sheetName val="중기"/>
      <sheetName val="율촌법률사무소2내역"/>
      <sheetName val="RE9604"/>
      <sheetName val="내역서2안"/>
      <sheetName val="ELEC"/>
      <sheetName val="9GNG운반"/>
      <sheetName val="N賃率_職"/>
      <sheetName val="공조기휀"/>
      <sheetName val="기술부대조건"/>
      <sheetName val="내역서(중수)"/>
      <sheetName val="CAT_5"/>
      <sheetName val="단가비교표_공통1"/>
      <sheetName val="CIVIL4"/>
      <sheetName val="시멘트"/>
      <sheetName val="입찰안"/>
      <sheetName val="102역사"/>
      <sheetName val="특외대"/>
      <sheetName val="6호기"/>
      <sheetName val="금액집계"/>
      <sheetName val="96정변2"/>
      <sheetName val="수주추정"/>
      <sheetName val="목록"/>
      <sheetName val="내역(원안-대안)"/>
      <sheetName val="당진1,2호기전선관설치및접지4차공사내역서-을지"/>
      <sheetName val="본체철근표"/>
      <sheetName val="역공종"/>
      <sheetName val="대치판정"/>
      <sheetName val="원가서"/>
      <sheetName val="전기일위목록"/>
      <sheetName val="노무,재료"/>
      <sheetName val="견적"/>
      <sheetName val="철거산출근거"/>
      <sheetName val="사다리"/>
      <sheetName val="아파트건축"/>
      <sheetName val="노무비"/>
      <sheetName val="도급견적가"/>
      <sheetName val="기계경비(시간당)"/>
      <sheetName val="공통가설공사"/>
      <sheetName val="표지"/>
      <sheetName val="조경일람"/>
      <sheetName val="guard(mac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886F-F4AC-4307-9B90-CA5EE02E238F}">
  <sheetPr>
    <pageSetUpPr fitToPage="1"/>
  </sheetPr>
  <dimension ref="A1:G33"/>
  <sheetViews>
    <sheetView tabSelected="1" workbookViewId="0">
      <selection activeCell="K11" sqref="K11"/>
    </sheetView>
  </sheetViews>
  <sheetFormatPr defaultRowHeight="13.5" x14ac:dyDescent="0.15"/>
  <cols>
    <col min="1" max="1" width="8.88671875" customWidth="1"/>
    <col min="2" max="2" width="18.109375" customWidth="1"/>
    <col min="3" max="3" width="15.88671875" customWidth="1"/>
    <col min="5" max="5" width="5.21875" customWidth="1"/>
    <col min="6" max="6" width="10.44140625" customWidth="1"/>
    <col min="7" max="7" width="12.88671875" customWidth="1"/>
    <col min="258" max="258" width="18.109375" customWidth="1"/>
    <col min="259" max="259" width="15.88671875" customWidth="1"/>
    <col min="261" max="261" width="5.21875" customWidth="1"/>
    <col min="262" max="262" width="10.44140625" customWidth="1"/>
    <col min="263" max="263" width="12.88671875" customWidth="1"/>
    <col min="514" max="514" width="18.109375" customWidth="1"/>
    <col min="515" max="515" width="15.88671875" customWidth="1"/>
    <col min="517" max="517" width="5.21875" customWidth="1"/>
    <col min="518" max="518" width="10.44140625" customWidth="1"/>
    <col min="519" max="519" width="12.88671875" customWidth="1"/>
    <col min="770" max="770" width="18.109375" customWidth="1"/>
    <col min="771" max="771" width="15.88671875" customWidth="1"/>
    <col min="773" max="773" width="5.21875" customWidth="1"/>
    <col min="774" max="774" width="10.44140625" customWidth="1"/>
    <col min="775" max="775" width="12.88671875" customWidth="1"/>
    <col min="1026" max="1026" width="18.109375" customWidth="1"/>
    <col min="1027" max="1027" width="15.88671875" customWidth="1"/>
    <col min="1029" max="1029" width="5.21875" customWidth="1"/>
    <col min="1030" max="1030" width="10.44140625" customWidth="1"/>
    <col min="1031" max="1031" width="12.88671875" customWidth="1"/>
    <col min="1282" max="1282" width="18.109375" customWidth="1"/>
    <col min="1283" max="1283" width="15.88671875" customWidth="1"/>
    <col min="1285" max="1285" width="5.21875" customWidth="1"/>
    <col min="1286" max="1286" width="10.44140625" customWidth="1"/>
    <col min="1287" max="1287" width="12.88671875" customWidth="1"/>
    <col min="1538" max="1538" width="18.109375" customWidth="1"/>
    <col min="1539" max="1539" width="15.88671875" customWidth="1"/>
    <col min="1541" max="1541" width="5.21875" customWidth="1"/>
    <col min="1542" max="1542" width="10.44140625" customWidth="1"/>
    <col min="1543" max="1543" width="12.88671875" customWidth="1"/>
    <col min="1794" max="1794" width="18.109375" customWidth="1"/>
    <col min="1795" max="1795" width="15.88671875" customWidth="1"/>
    <col min="1797" max="1797" width="5.21875" customWidth="1"/>
    <col min="1798" max="1798" width="10.44140625" customWidth="1"/>
    <col min="1799" max="1799" width="12.88671875" customWidth="1"/>
    <col min="2050" max="2050" width="18.109375" customWidth="1"/>
    <col min="2051" max="2051" width="15.88671875" customWidth="1"/>
    <col min="2053" max="2053" width="5.21875" customWidth="1"/>
    <col min="2054" max="2054" width="10.44140625" customWidth="1"/>
    <col min="2055" max="2055" width="12.88671875" customWidth="1"/>
    <col min="2306" max="2306" width="18.109375" customWidth="1"/>
    <col min="2307" max="2307" width="15.88671875" customWidth="1"/>
    <col min="2309" max="2309" width="5.21875" customWidth="1"/>
    <col min="2310" max="2310" width="10.44140625" customWidth="1"/>
    <col min="2311" max="2311" width="12.88671875" customWidth="1"/>
    <col min="2562" max="2562" width="18.109375" customWidth="1"/>
    <col min="2563" max="2563" width="15.88671875" customWidth="1"/>
    <col min="2565" max="2565" width="5.21875" customWidth="1"/>
    <col min="2566" max="2566" width="10.44140625" customWidth="1"/>
    <col min="2567" max="2567" width="12.88671875" customWidth="1"/>
    <col min="2818" max="2818" width="18.109375" customWidth="1"/>
    <col min="2819" max="2819" width="15.88671875" customWidth="1"/>
    <col min="2821" max="2821" width="5.21875" customWidth="1"/>
    <col min="2822" max="2822" width="10.44140625" customWidth="1"/>
    <col min="2823" max="2823" width="12.88671875" customWidth="1"/>
    <col min="3074" max="3074" width="18.109375" customWidth="1"/>
    <col min="3075" max="3075" width="15.88671875" customWidth="1"/>
    <col min="3077" max="3077" width="5.21875" customWidth="1"/>
    <col min="3078" max="3078" width="10.44140625" customWidth="1"/>
    <col min="3079" max="3079" width="12.88671875" customWidth="1"/>
    <col min="3330" max="3330" width="18.109375" customWidth="1"/>
    <col min="3331" max="3331" width="15.88671875" customWidth="1"/>
    <col min="3333" max="3333" width="5.21875" customWidth="1"/>
    <col min="3334" max="3334" width="10.44140625" customWidth="1"/>
    <col min="3335" max="3335" width="12.88671875" customWidth="1"/>
    <col min="3586" max="3586" width="18.109375" customWidth="1"/>
    <col min="3587" max="3587" width="15.88671875" customWidth="1"/>
    <col min="3589" max="3589" width="5.21875" customWidth="1"/>
    <col min="3590" max="3590" width="10.44140625" customWidth="1"/>
    <col min="3591" max="3591" width="12.88671875" customWidth="1"/>
    <col min="3842" max="3842" width="18.109375" customWidth="1"/>
    <col min="3843" max="3843" width="15.88671875" customWidth="1"/>
    <col min="3845" max="3845" width="5.21875" customWidth="1"/>
    <col min="3846" max="3846" width="10.44140625" customWidth="1"/>
    <col min="3847" max="3847" width="12.88671875" customWidth="1"/>
    <col min="4098" max="4098" width="18.109375" customWidth="1"/>
    <col min="4099" max="4099" width="15.88671875" customWidth="1"/>
    <col min="4101" max="4101" width="5.21875" customWidth="1"/>
    <col min="4102" max="4102" width="10.44140625" customWidth="1"/>
    <col min="4103" max="4103" width="12.88671875" customWidth="1"/>
    <col min="4354" max="4354" width="18.109375" customWidth="1"/>
    <col min="4355" max="4355" width="15.88671875" customWidth="1"/>
    <col min="4357" max="4357" width="5.21875" customWidth="1"/>
    <col min="4358" max="4358" width="10.44140625" customWidth="1"/>
    <col min="4359" max="4359" width="12.88671875" customWidth="1"/>
    <col min="4610" max="4610" width="18.109375" customWidth="1"/>
    <col min="4611" max="4611" width="15.88671875" customWidth="1"/>
    <col min="4613" max="4613" width="5.21875" customWidth="1"/>
    <col min="4614" max="4614" width="10.44140625" customWidth="1"/>
    <col min="4615" max="4615" width="12.88671875" customWidth="1"/>
    <col min="4866" max="4866" width="18.109375" customWidth="1"/>
    <col min="4867" max="4867" width="15.88671875" customWidth="1"/>
    <col min="4869" max="4869" width="5.21875" customWidth="1"/>
    <col min="4870" max="4870" width="10.44140625" customWidth="1"/>
    <col min="4871" max="4871" width="12.88671875" customWidth="1"/>
    <col min="5122" max="5122" width="18.109375" customWidth="1"/>
    <col min="5123" max="5123" width="15.88671875" customWidth="1"/>
    <col min="5125" max="5125" width="5.21875" customWidth="1"/>
    <col min="5126" max="5126" width="10.44140625" customWidth="1"/>
    <col min="5127" max="5127" width="12.88671875" customWidth="1"/>
    <col min="5378" max="5378" width="18.109375" customWidth="1"/>
    <col min="5379" max="5379" width="15.88671875" customWidth="1"/>
    <col min="5381" max="5381" width="5.21875" customWidth="1"/>
    <col min="5382" max="5382" width="10.44140625" customWidth="1"/>
    <col min="5383" max="5383" width="12.88671875" customWidth="1"/>
    <col min="5634" max="5634" width="18.109375" customWidth="1"/>
    <col min="5635" max="5635" width="15.88671875" customWidth="1"/>
    <col min="5637" max="5637" width="5.21875" customWidth="1"/>
    <col min="5638" max="5638" width="10.44140625" customWidth="1"/>
    <col min="5639" max="5639" width="12.88671875" customWidth="1"/>
    <col min="5890" max="5890" width="18.109375" customWidth="1"/>
    <col min="5891" max="5891" width="15.88671875" customWidth="1"/>
    <col min="5893" max="5893" width="5.21875" customWidth="1"/>
    <col min="5894" max="5894" width="10.44140625" customWidth="1"/>
    <col min="5895" max="5895" width="12.88671875" customWidth="1"/>
    <col min="6146" max="6146" width="18.109375" customWidth="1"/>
    <col min="6147" max="6147" width="15.88671875" customWidth="1"/>
    <col min="6149" max="6149" width="5.21875" customWidth="1"/>
    <col min="6150" max="6150" width="10.44140625" customWidth="1"/>
    <col min="6151" max="6151" width="12.88671875" customWidth="1"/>
    <col min="6402" max="6402" width="18.109375" customWidth="1"/>
    <col min="6403" max="6403" width="15.88671875" customWidth="1"/>
    <col min="6405" max="6405" width="5.21875" customWidth="1"/>
    <col min="6406" max="6406" width="10.44140625" customWidth="1"/>
    <col min="6407" max="6407" width="12.88671875" customWidth="1"/>
    <col min="6658" max="6658" width="18.109375" customWidth="1"/>
    <col min="6659" max="6659" width="15.88671875" customWidth="1"/>
    <col min="6661" max="6661" width="5.21875" customWidth="1"/>
    <col min="6662" max="6662" width="10.44140625" customWidth="1"/>
    <col min="6663" max="6663" width="12.88671875" customWidth="1"/>
    <col min="6914" max="6914" width="18.109375" customWidth="1"/>
    <col min="6915" max="6915" width="15.88671875" customWidth="1"/>
    <col min="6917" max="6917" width="5.21875" customWidth="1"/>
    <col min="6918" max="6918" width="10.44140625" customWidth="1"/>
    <col min="6919" max="6919" width="12.88671875" customWidth="1"/>
    <col min="7170" max="7170" width="18.109375" customWidth="1"/>
    <col min="7171" max="7171" width="15.88671875" customWidth="1"/>
    <col min="7173" max="7173" width="5.21875" customWidth="1"/>
    <col min="7174" max="7174" width="10.44140625" customWidth="1"/>
    <col min="7175" max="7175" width="12.88671875" customWidth="1"/>
    <col min="7426" max="7426" width="18.109375" customWidth="1"/>
    <col min="7427" max="7427" width="15.88671875" customWidth="1"/>
    <col min="7429" max="7429" width="5.21875" customWidth="1"/>
    <col min="7430" max="7430" width="10.44140625" customWidth="1"/>
    <col min="7431" max="7431" width="12.88671875" customWidth="1"/>
    <col min="7682" max="7682" width="18.109375" customWidth="1"/>
    <col min="7683" max="7683" width="15.88671875" customWidth="1"/>
    <col min="7685" max="7685" width="5.21875" customWidth="1"/>
    <col min="7686" max="7686" width="10.44140625" customWidth="1"/>
    <col min="7687" max="7687" width="12.88671875" customWidth="1"/>
    <col min="7938" max="7938" width="18.109375" customWidth="1"/>
    <col min="7939" max="7939" width="15.88671875" customWidth="1"/>
    <col min="7941" max="7941" width="5.21875" customWidth="1"/>
    <col min="7942" max="7942" width="10.44140625" customWidth="1"/>
    <col min="7943" max="7943" width="12.88671875" customWidth="1"/>
    <col min="8194" max="8194" width="18.109375" customWidth="1"/>
    <col min="8195" max="8195" width="15.88671875" customWidth="1"/>
    <col min="8197" max="8197" width="5.21875" customWidth="1"/>
    <col min="8198" max="8198" width="10.44140625" customWidth="1"/>
    <col min="8199" max="8199" width="12.88671875" customWidth="1"/>
    <col min="8450" max="8450" width="18.109375" customWidth="1"/>
    <col min="8451" max="8451" width="15.88671875" customWidth="1"/>
    <col min="8453" max="8453" width="5.21875" customWidth="1"/>
    <col min="8454" max="8454" width="10.44140625" customWidth="1"/>
    <col min="8455" max="8455" width="12.88671875" customWidth="1"/>
    <col min="8706" max="8706" width="18.109375" customWidth="1"/>
    <col min="8707" max="8707" width="15.88671875" customWidth="1"/>
    <col min="8709" max="8709" width="5.21875" customWidth="1"/>
    <col min="8710" max="8710" width="10.44140625" customWidth="1"/>
    <col min="8711" max="8711" width="12.88671875" customWidth="1"/>
    <col min="8962" max="8962" width="18.109375" customWidth="1"/>
    <col min="8963" max="8963" width="15.88671875" customWidth="1"/>
    <col min="8965" max="8965" width="5.21875" customWidth="1"/>
    <col min="8966" max="8966" width="10.44140625" customWidth="1"/>
    <col min="8967" max="8967" width="12.88671875" customWidth="1"/>
    <col min="9218" max="9218" width="18.109375" customWidth="1"/>
    <col min="9219" max="9219" width="15.88671875" customWidth="1"/>
    <col min="9221" max="9221" width="5.21875" customWidth="1"/>
    <col min="9222" max="9222" width="10.44140625" customWidth="1"/>
    <col min="9223" max="9223" width="12.88671875" customWidth="1"/>
    <col min="9474" max="9474" width="18.109375" customWidth="1"/>
    <col min="9475" max="9475" width="15.88671875" customWidth="1"/>
    <col min="9477" max="9477" width="5.21875" customWidth="1"/>
    <col min="9478" max="9478" width="10.44140625" customWidth="1"/>
    <col min="9479" max="9479" width="12.88671875" customWidth="1"/>
    <col min="9730" max="9730" width="18.109375" customWidth="1"/>
    <col min="9731" max="9731" width="15.88671875" customWidth="1"/>
    <col min="9733" max="9733" width="5.21875" customWidth="1"/>
    <col min="9734" max="9734" width="10.44140625" customWidth="1"/>
    <col min="9735" max="9735" width="12.88671875" customWidth="1"/>
    <col min="9986" max="9986" width="18.109375" customWidth="1"/>
    <col min="9987" max="9987" width="15.88671875" customWidth="1"/>
    <col min="9989" max="9989" width="5.21875" customWidth="1"/>
    <col min="9990" max="9990" width="10.44140625" customWidth="1"/>
    <col min="9991" max="9991" width="12.88671875" customWidth="1"/>
    <col min="10242" max="10242" width="18.109375" customWidth="1"/>
    <col min="10243" max="10243" width="15.88671875" customWidth="1"/>
    <col min="10245" max="10245" width="5.21875" customWidth="1"/>
    <col min="10246" max="10246" width="10.44140625" customWidth="1"/>
    <col min="10247" max="10247" width="12.88671875" customWidth="1"/>
    <col min="10498" max="10498" width="18.109375" customWidth="1"/>
    <col min="10499" max="10499" width="15.88671875" customWidth="1"/>
    <col min="10501" max="10501" width="5.21875" customWidth="1"/>
    <col min="10502" max="10502" width="10.44140625" customWidth="1"/>
    <col min="10503" max="10503" width="12.88671875" customWidth="1"/>
    <col min="10754" max="10754" width="18.109375" customWidth="1"/>
    <col min="10755" max="10755" width="15.88671875" customWidth="1"/>
    <col min="10757" max="10757" width="5.21875" customWidth="1"/>
    <col min="10758" max="10758" width="10.44140625" customWidth="1"/>
    <col min="10759" max="10759" width="12.88671875" customWidth="1"/>
    <col min="11010" max="11010" width="18.109375" customWidth="1"/>
    <col min="11011" max="11011" width="15.88671875" customWidth="1"/>
    <col min="11013" max="11013" width="5.21875" customWidth="1"/>
    <col min="11014" max="11014" width="10.44140625" customWidth="1"/>
    <col min="11015" max="11015" width="12.88671875" customWidth="1"/>
    <col min="11266" max="11266" width="18.109375" customWidth="1"/>
    <col min="11267" max="11267" width="15.88671875" customWidth="1"/>
    <col min="11269" max="11269" width="5.21875" customWidth="1"/>
    <col min="11270" max="11270" width="10.44140625" customWidth="1"/>
    <col min="11271" max="11271" width="12.88671875" customWidth="1"/>
    <col min="11522" max="11522" width="18.109375" customWidth="1"/>
    <col min="11523" max="11523" width="15.88671875" customWidth="1"/>
    <col min="11525" max="11525" width="5.21875" customWidth="1"/>
    <col min="11526" max="11526" width="10.44140625" customWidth="1"/>
    <col min="11527" max="11527" width="12.88671875" customWidth="1"/>
    <col min="11778" max="11778" width="18.109375" customWidth="1"/>
    <col min="11779" max="11779" width="15.88671875" customWidth="1"/>
    <col min="11781" max="11781" width="5.21875" customWidth="1"/>
    <col min="11782" max="11782" width="10.44140625" customWidth="1"/>
    <col min="11783" max="11783" width="12.88671875" customWidth="1"/>
    <col min="12034" max="12034" width="18.109375" customWidth="1"/>
    <col min="12035" max="12035" width="15.88671875" customWidth="1"/>
    <col min="12037" max="12037" width="5.21875" customWidth="1"/>
    <col min="12038" max="12038" width="10.44140625" customWidth="1"/>
    <col min="12039" max="12039" width="12.88671875" customWidth="1"/>
    <col min="12290" max="12290" width="18.109375" customWidth="1"/>
    <col min="12291" max="12291" width="15.88671875" customWidth="1"/>
    <col min="12293" max="12293" width="5.21875" customWidth="1"/>
    <col min="12294" max="12294" width="10.44140625" customWidth="1"/>
    <col min="12295" max="12295" width="12.88671875" customWidth="1"/>
    <col min="12546" max="12546" width="18.109375" customWidth="1"/>
    <col min="12547" max="12547" width="15.88671875" customWidth="1"/>
    <col min="12549" max="12549" width="5.21875" customWidth="1"/>
    <col min="12550" max="12550" width="10.44140625" customWidth="1"/>
    <col min="12551" max="12551" width="12.88671875" customWidth="1"/>
    <col min="12802" max="12802" width="18.109375" customWidth="1"/>
    <col min="12803" max="12803" width="15.88671875" customWidth="1"/>
    <col min="12805" max="12805" width="5.21875" customWidth="1"/>
    <col min="12806" max="12806" width="10.44140625" customWidth="1"/>
    <col min="12807" max="12807" width="12.88671875" customWidth="1"/>
    <col min="13058" max="13058" width="18.109375" customWidth="1"/>
    <col min="13059" max="13059" width="15.88671875" customWidth="1"/>
    <col min="13061" max="13061" width="5.21875" customWidth="1"/>
    <col min="13062" max="13062" width="10.44140625" customWidth="1"/>
    <col min="13063" max="13063" width="12.88671875" customWidth="1"/>
    <col min="13314" max="13314" width="18.109375" customWidth="1"/>
    <col min="13315" max="13315" width="15.88671875" customWidth="1"/>
    <col min="13317" max="13317" width="5.21875" customWidth="1"/>
    <col min="13318" max="13318" width="10.44140625" customWidth="1"/>
    <col min="13319" max="13319" width="12.88671875" customWidth="1"/>
    <col min="13570" max="13570" width="18.109375" customWidth="1"/>
    <col min="13571" max="13571" width="15.88671875" customWidth="1"/>
    <col min="13573" max="13573" width="5.21875" customWidth="1"/>
    <col min="13574" max="13574" width="10.44140625" customWidth="1"/>
    <col min="13575" max="13575" width="12.88671875" customWidth="1"/>
    <col min="13826" max="13826" width="18.109375" customWidth="1"/>
    <col min="13827" max="13827" width="15.88671875" customWidth="1"/>
    <col min="13829" max="13829" width="5.21875" customWidth="1"/>
    <col min="13830" max="13830" width="10.44140625" customWidth="1"/>
    <col min="13831" max="13831" width="12.88671875" customWidth="1"/>
    <col min="14082" max="14082" width="18.109375" customWidth="1"/>
    <col min="14083" max="14083" width="15.88671875" customWidth="1"/>
    <col min="14085" max="14085" width="5.21875" customWidth="1"/>
    <col min="14086" max="14086" width="10.44140625" customWidth="1"/>
    <col min="14087" max="14087" width="12.88671875" customWidth="1"/>
    <col min="14338" max="14338" width="18.109375" customWidth="1"/>
    <col min="14339" max="14339" width="15.88671875" customWidth="1"/>
    <col min="14341" max="14341" width="5.21875" customWidth="1"/>
    <col min="14342" max="14342" width="10.44140625" customWidth="1"/>
    <col min="14343" max="14343" width="12.88671875" customWidth="1"/>
    <col min="14594" max="14594" width="18.109375" customWidth="1"/>
    <col min="14595" max="14595" width="15.88671875" customWidth="1"/>
    <col min="14597" max="14597" width="5.21875" customWidth="1"/>
    <col min="14598" max="14598" width="10.44140625" customWidth="1"/>
    <col min="14599" max="14599" width="12.88671875" customWidth="1"/>
    <col min="14850" max="14850" width="18.109375" customWidth="1"/>
    <col min="14851" max="14851" width="15.88671875" customWidth="1"/>
    <col min="14853" max="14853" width="5.21875" customWidth="1"/>
    <col min="14854" max="14854" width="10.44140625" customWidth="1"/>
    <col min="14855" max="14855" width="12.88671875" customWidth="1"/>
    <col min="15106" max="15106" width="18.109375" customWidth="1"/>
    <col min="15107" max="15107" width="15.88671875" customWidth="1"/>
    <col min="15109" max="15109" width="5.21875" customWidth="1"/>
    <col min="15110" max="15110" width="10.44140625" customWidth="1"/>
    <col min="15111" max="15111" width="12.88671875" customWidth="1"/>
    <col min="15362" max="15362" width="18.109375" customWidth="1"/>
    <col min="15363" max="15363" width="15.88671875" customWidth="1"/>
    <col min="15365" max="15365" width="5.21875" customWidth="1"/>
    <col min="15366" max="15366" width="10.44140625" customWidth="1"/>
    <col min="15367" max="15367" width="12.88671875" customWidth="1"/>
    <col min="15618" max="15618" width="18.109375" customWidth="1"/>
    <col min="15619" max="15619" width="15.88671875" customWidth="1"/>
    <col min="15621" max="15621" width="5.21875" customWidth="1"/>
    <col min="15622" max="15622" width="10.44140625" customWidth="1"/>
    <col min="15623" max="15623" width="12.88671875" customWidth="1"/>
    <col min="15874" max="15874" width="18.109375" customWidth="1"/>
    <col min="15875" max="15875" width="15.88671875" customWidth="1"/>
    <col min="15877" max="15877" width="5.21875" customWidth="1"/>
    <col min="15878" max="15878" width="10.44140625" customWidth="1"/>
    <col min="15879" max="15879" width="12.88671875" customWidth="1"/>
    <col min="16130" max="16130" width="18.109375" customWidth="1"/>
    <col min="16131" max="16131" width="15.88671875" customWidth="1"/>
    <col min="16133" max="16133" width="5.21875" customWidth="1"/>
    <col min="16134" max="16134" width="10.44140625" customWidth="1"/>
    <col min="16135" max="16135" width="12.88671875" customWidth="1"/>
  </cols>
  <sheetData>
    <row r="1" ht="54.75" customHeight="1" x14ac:dyDescent="0.15"/>
    <row r="2" ht="17.25" customHeight="1" x14ac:dyDescent="0.15"/>
    <row r="3" ht="17.25" customHeight="1" x14ac:dyDescent="0.15"/>
    <row r="4" ht="18.95" customHeight="1" x14ac:dyDescent="0.15"/>
    <row r="5" ht="18.95" customHeight="1" x14ac:dyDescent="0.15"/>
    <row r="6" ht="18.95" customHeight="1" x14ac:dyDescent="0.15"/>
    <row r="7" ht="18.95" customHeight="1" x14ac:dyDescent="0.15"/>
    <row r="8" ht="18.95" customHeight="1" x14ac:dyDescent="0.15"/>
    <row r="9" ht="18.95" customHeight="1" x14ac:dyDescent="0.15"/>
    <row r="10" ht="18.95" customHeight="1" x14ac:dyDescent="0.15"/>
    <row r="11" ht="18.95" customHeight="1" x14ac:dyDescent="0.15"/>
    <row r="12" ht="18.95" customHeight="1" x14ac:dyDescent="0.15"/>
    <row r="13" ht="32.25" customHeight="1" x14ac:dyDescent="0.15"/>
    <row r="14" ht="18.95" customHeight="1" x14ac:dyDescent="0.15"/>
    <row r="15" s="61" customFormat="1" ht="18.95" customHeight="1" x14ac:dyDescent="0.15"/>
    <row r="16" ht="26.25" customHeight="1" x14ac:dyDescent="0.15"/>
    <row r="17" ht="35.25" customHeight="1" x14ac:dyDescent="0.15"/>
    <row r="18" ht="18.95" customHeight="1" x14ac:dyDescent="0.15"/>
    <row r="19" ht="18.95" customHeight="1" x14ac:dyDescent="0.15"/>
    <row r="20" ht="18.95" customHeight="1" x14ac:dyDescent="0.15"/>
    <row r="21" ht="18.95" customHeight="1" x14ac:dyDescent="0.15"/>
    <row r="22" ht="18.95" customHeight="1" x14ac:dyDescent="0.15"/>
    <row r="23" ht="18.95" customHeight="1" x14ac:dyDescent="0.15"/>
    <row r="24" ht="18.95" customHeight="1" x14ac:dyDescent="0.15"/>
    <row r="25" ht="18.95" customHeight="1" x14ac:dyDescent="0.15"/>
    <row r="26" ht="18.95" customHeight="1" x14ac:dyDescent="0.15"/>
    <row r="27" ht="18.95" customHeight="1" x14ac:dyDescent="0.15"/>
    <row r="28" ht="20.100000000000001" customHeight="1" x14ac:dyDescent="0.15"/>
    <row r="29" ht="20.100000000000001" customHeight="1" x14ac:dyDescent="0.15"/>
    <row r="30" ht="20.100000000000001" customHeight="1" x14ac:dyDescent="0.15"/>
    <row r="31" ht="20.100000000000001" customHeight="1" x14ac:dyDescent="0.15"/>
    <row r="32" ht="20.100000000000001" customHeight="1" x14ac:dyDescent="0.15"/>
    <row r="33" spans="1:7" x14ac:dyDescent="0.15">
      <c r="A33" s="62"/>
      <c r="B33" s="63"/>
      <c r="C33" s="63"/>
      <c r="D33" s="63"/>
      <c r="E33" s="63"/>
      <c r="F33" s="63"/>
      <c r="G33" s="63"/>
    </row>
  </sheetData>
  <phoneticPr fontId="4" type="noConversion"/>
  <dataValidations count="1">
    <dataValidation type="list" allowBlank="1" showInputMessage="1" showErrorMessage="1" sqref="IS18:IS26 SO18:SO26 ACK18:ACK26 AMG18:AMG26 AWC18:AWC26 BFY18:BFY26 BPU18:BPU26 BZQ18:BZQ26 CJM18:CJM26 CTI18:CTI26 DDE18:DDE26 DNA18:DNA26 DWW18:DWW26 EGS18:EGS26 EQO18:EQO26 FAK18:FAK26 FKG18:FKG26 FUC18:FUC26 GDY18:GDY26 GNU18:GNU26 GXQ18:GXQ26 HHM18:HHM26 HRI18:HRI26 IBE18:IBE26 ILA18:ILA26 IUW18:IUW26 JES18:JES26 JOO18:JOO26 JYK18:JYK26 KIG18:KIG26 KSC18:KSC26 LBY18:LBY26 LLU18:LLU26 LVQ18:LVQ26 MFM18:MFM26 MPI18:MPI26 MZE18:MZE26 NJA18:NJA26 NSW18:NSW26 OCS18:OCS26 OMO18:OMO26 OWK18:OWK26 PGG18:PGG26 PQC18:PQC26 PZY18:PZY26 QJU18:QJU26 QTQ18:QTQ26 RDM18:RDM26 RNI18:RNI26 RXE18:RXE26 SHA18:SHA26 SQW18:SQW26 TAS18:TAS26 TKO18:TKO26 TUK18:TUK26 UEG18:UEG26 UOC18:UOC26 UXY18:UXY26 VHU18:VHU26 VRQ18:VRQ26 WBM18:WBM26 WLI18:WLI26 WVE18:WVE26 D65554:D65562 IZ65554:IZ65562 SV65554:SV65562 ACR65554:ACR65562 AMN65554:AMN65562 AWJ65554:AWJ65562 BGF65554:BGF65562 BQB65554:BQB65562 BZX65554:BZX65562 CJT65554:CJT65562 CTP65554:CTP65562 DDL65554:DDL65562 DNH65554:DNH65562 DXD65554:DXD65562 EGZ65554:EGZ65562 EQV65554:EQV65562 FAR65554:FAR65562 FKN65554:FKN65562 FUJ65554:FUJ65562 GEF65554:GEF65562 GOB65554:GOB65562 GXX65554:GXX65562 HHT65554:HHT65562 HRP65554:HRP65562 IBL65554:IBL65562 ILH65554:ILH65562 IVD65554:IVD65562 JEZ65554:JEZ65562 JOV65554:JOV65562 JYR65554:JYR65562 KIN65554:KIN65562 KSJ65554:KSJ65562 LCF65554:LCF65562 LMB65554:LMB65562 LVX65554:LVX65562 MFT65554:MFT65562 MPP65554:MPP65562 MZL65554:MZL65562 NJH65554:NJH65562 NTD65554:NTD65562 OCZ65554:OCZ65562 OMV65554:OMV65562 OWR65554:OWR65562 PGN65554:PGN65562 PQJ65554:PQJ65562 QAF65554:QAF65562 QKB65554:QKB65562 QTX65554:QTX65562 RDT65554:RDT65562 RNP65554:RNP65562 RXL65554:RXL65562 SHH65554:SHH65562 SRD65554:SRD65562 TAZ65554:TAZ65562 TKV65554:TKV65562 TUR65554:TUR65562 UEN65554:UEN65562 UOJ65554:UOJ65562 UYF65554:UYF65562 VIB65554:VIB65562 VRX65554:VRX65562 WBT65554:WBT65562 WLP65554:WLP65562 WVL65554:WVL65562 D131090:D131098 IZ131090:IZ131098 SV131090:SV131098 ACR131090:ACR131098 AMN131090:AMN131098 AWJ131090:AWJ131098 BGF131090:BGF131098 BQB131090:BQB131098 BZX131090:BZX131098 CJT131090:CJT131098 CTP131090:CTP131098 DDL131090:DDL131098 DNH131090:DNH131098 DXD131090:DXD131098 EGZ131090:EGZ131098 EQV131090:EQV131098 FAR131090:FAR131098 FKN131090:FKN131098 FUJ131090:FUJ131098 GEF131090:GEF131098 GOB131090:GOB131098 GXX131090:GXX131098 HHT131090:HHT131098 HRP131090:HRP131098 IBL131090:IBL131098 ILH131090:ILH131098 IVD131090:IVD131098 JEZ131090:JEZ131098 JOV131090:JOV131098 JYR131090:JYR131098 KIN131090:KIN131098 KSJ131090:KSJ131098 LCF131090:LCF131098 LMB131090:LMB131098 LVX131090:LVX131098 MFT131090:MFT131098 MPP131090:MPP131098 MZL131090:MZL131098 NJH131090:NJH131098 NTD131090:NTD131098 OCZ131090:OCZ131098 OMV131090:OMV131098 OWR131090:OWR131098 PGN131090:PGN131098 PQJ131090:PQJ131098 QAF131090:QAF131098 QKB131090:QKB131098 QTX131090:QTX131098 RDT131090:RDT131098 RNP131090:RNP131098 RXL131090:RXL131098 SHH131090:SHH131098 SRD131090:SRD131098 TAZ131090:TAZ131098 TKV131090:TKV131098 TUR131090:TUR131098 UEN131090:UEN131098 UOJ131090:UOJ131098 UYF131090:UYF131098 VIB131090:VIB131098 VRX131090:VRX131098 WBT131090:WBT131098 WLP131090:WLP131098 WVL131090:WVL131098 D196626:D196634 IZ196626:IZ196634 SV196626:SV196634 ACR196626:ACR196634 AMN196626:AMN196634 AWJ196626:AWJ196634 BGF196626:BGF196634 BQB196626:BQB196634 BZX196626:BZX196634 CJT196626:CJT196634 CTP196626:CTP196634 DDL196626:DDL196634 DNH196626:DNH196634 DXD196626:DXD196634 EGZ196626:EGZ196634 EQV196626:EQV196634 FAR196626:FAR196634 FKN196626:FKN196634 FUJ196626:FUJ196634 GEF196626:GEF196634 GOB196626:GOB196634 GXX196626:GXX196634 HHT196626:HHT196634 HRP196626:HRP196634 IBL196626:IBL196634 ILH196626:ILH196634 IVD196626:IVD196634 JEZ196626:JEZ196634 JOV196626:JOV196634 JYR196626:JYR196634 KIN196626:KIN196634 KSJ196626:KSJ196634 LCF196626:LCF196634 LMB196626:LMB196634 LVX196626:LVX196634 MFT196626:MFT196634 MPP196626:MPP196634 MZL196626:MZL196634 NJH196626:NJH196634 NTD196626:NTD196634 OCZ196626:OCZ196634 OMV196626:OMV196634 OWR196626:OWR196634 PGN196626:PGN196634 PQJ196626:PQJ196634 QAF196626:QAF196634 QKB196626:QKB196634 QTX196626:QTX196634 RDT196626:RDT196634 RNP196626:RNP196634 RXL196626:RXL196634 SHH196626:SHH196634 SRD196626:SRD196634 TAZ196626:TAZ196634 TKV196626:TKV196634 TUR196626:TUR196634 UEN196626:UEN196634 UOJ196626:UOJ196634 UYF196626:UYF196634 VIB196626:VIB196634 VRX196626:VRX196634 WBT196626:WBT196634 WLP196626:WLP196634 WVL196626:WVL196634 D262162:D262170 IZ262162:IZ262170 SV262162:SV262170 ACR262162:ACR262170 AMN262162:AMN262170 AWJ262162:AWJ262170 BGF262162:BGF262170 BQB262162:BQB262170 BZX262162:BZX262170 CJT262162:CJT262170 CTP262162:CTP262170 DDL262162:DDL262170 DNH262162:DNH262170 DXD262162:DXD262170 EGZ262162:EGZ262170 EQV262162:EQV262170 FAR262162:FAR262170 FKN262162:FKN262170 FUJ262162:FUJ262170 GEF262162:GEF262170 GOB262162:GOB262170 GXX262162:GXX262170 HHT262162:HHT262170 HRP262162:HRP262170 IBL262162:IBL262170 ILH262162:ILH262170 IVD262162:IVD262170 JEZ262162:JEZ262170 JOV262162:JOV262170 JYR262162:JYR262170 KIN262162:KIN262170 KSJ262162:KSJ262170 LCF262162:LCF262170 LMB262162:LMB262170 LVX262162:LVX262170 MFT262162:MFT262170 MPP262162:MPP262170 MZL262162:MZL262170 NJH262162:NJH262170 NTD262162:NTD262170 OCZ262162:OCZ262170 OMV262162:OMV262170 OWR262162:OWR262170 PGN262162:PGN262170 PQJ262162:PQJ262170 QAF262162:QAF262170 QKB262162:QKB262170 QTX262162:QTX262170 RDT262162:RDT262170 RNP262162:RNP262170 RXL262162:RXL262170 SHH262162:SHH262170 SRD262162:SRD262170 TAZ262162:TAZ262170 TKV262162:TKV262170 TUR262162:TUR262170 UEN262162:UEN262170 UOJ262162:UOJ262170 UYF262162:UYF262170 VIB262162:VIB262170 VRX262162:VRX262170 WBT262162:WBT262170 WLP262162:WLP262170 WVL262162:WVL262170 D327698:D327706 IZ327698:IZ327706 SV327698:SV327706 ACR327698:ACR327706 AMN327698:AMN327706 AWJ327698:AWJ327706 BGF327698:BGF327706 BQB327698:BQB327706 BZX327698:BZX327706 CJT327698:CJT327706 CTP327698:CTP327706 DDL327698:DDL327706 DNH327698:DNH327706 DXD327698:DXD327706 EGZ327698:EGZ327706 EQV327698:EQV327706 FAR327698:FAR327706 FKN327698:FKN327706 FUJ327698:FUJ327706 GEF327698:GEF327706 GOB327698:GOB327706 GXX327698:GXX327706 HHT327698:HHT327706 HRP327698:HRP327706 IBL327698:IBL327706 ILH327698:ILH327706 IVD327698:IVD327706 JEZ327698:JEZ327706 JOV327698:JOV327706 JYR327698:JYR327706 KIN327698:KIN327706 KSJ327698:KSJ327706 LCF327698:LCF327706 LMB327698:LMB327706 LVX327698:LVX327706 MFT327698:MFT327706 MPP327698:MPP327706 MZL327698:MZL327706 NJH327698:NJH327706 NTD327698:NTD327706 OCZ327698:OCZ327706 OMV327698:OMV327706 OWR327698:OWR327706 PGN327698:PGN327706 PQJ327698:PQJ327706 QAF327698:QAF327706 QKB327698:QKB327706 QTX327698:QTX327706 RDT327698:RDT327706 RNP327698:RNP327706 RXL327698:RXL327706 SHH327698:SHH327706 SRD327698:SRD327706 TAZ327698:TAZ327706 TKV327698:TKV327706 TUR327698:TUR327706 UEN327698:UEN327706 UOJ327698:UOJ327706 UYF327698:UYF327706 VIB327698:VIB327706 VRX327698:VRX327706 WBT327698:WBT327706 WLP327698:WLP327706 WVL327698:WVL327706 D393234:D393242 IZ393234:IZ393242 SV393234:SV393242 ACR393234:ACR393242 AMN393234:AMN393242 AWJ393234:AWJ393242 BGF393234:BGF393242 BQB393234:BQB393242 BZX393234:BZX393242 CJT393234:CJT393242 CTP393234:CTP393242 DDL393234:DDL393242 DNH393234:DNH393242 DXD393234:DXD393242 EGZ393234:EGZ393242 EQV393234:EQV393242 FAR393234:FAR393242 FKN393234:FKN393242 FUJ393234:FUJ393242 GEF393234:GEF393242 GOB393234:GOB393242 GXX393234:GXX393242 HHT393234:HHT393242 HRP393234:HRP393242 IBL393234:IBL393242 ILH393234:ILH393242 IVD393234:IVD393242 JEZ393234:JEZ393242 JOV393234:JOV393242 JYR393234:JYR393242 KIN393234:KIN393242 KSJ393234:KSJ393242 LCF393234:LCF393242 LMB393234:LMB393242 LVX393234:LVX393242 MFT393234:MFT393242 MPP393234:MPP393242 MZL393234:MZL393242 NJH393234:NJH393242 NTD393234:NTD393242 OCZ393234:OCZ393242 OMV393234:OMV393242 OWR393234:OWR393242 PGN393234:PGN393242 PQJ393234:PQJ393242 QAF393234:QAF393242 QKB393234:QKB393242 QTX393234:QTX393242 RDT393234:RDT393242 RNP393234:RNP393242 RXL393234:RXL393242 SHH393234:SHH393242 SRD393234:SRD393242 TAZ393234:TAZ393242 TKV393234:TKV393242 TUR393234:TUR393242 UEN393234:UEN393242 UOJ393234:UOJ393242 UYF393234:UYF393242 VIB393234:VIB393242 VRX393234:VRX393242 WBT393234:WBT393242 WLP393234:WLP393242 WVL393234:WVL393242 D458770:D458778 IZ458770:IZ458778 SV458770:SV458778 ACR458770:ACR458778 AMN458770:AMN458778 AWJ458770:AWJ458778 BGF458770:BGF458778 BQB458770:BQB458778 BZX458770:BZX458778 CJT458770:CJT458778 CTP458770:CTP458778 DDL458770:DDL458778 DNH458770:DNH458778 DXD458770:DXD458778 EGZ458770:EGZ458778 EQV458770:EQV458778 FAR458770:FAR458778 FKN458770:FKN458778 FUJ458770:FUJ458778 GEF458770:GEF458778 GOB458770:GOB458778 GXX458770:GXX458778 HHT458770:HHT458778 HRP458770:HRP458778 IBL458770:IBL458778 ILH458770:ILH458778 IVD458770:IVD458778 JEZ458770:JEZ458778 JOV458770:JOV458778 JYR458770:JYR458778 KIN458770:KIN458778 KSJ458770:KSJ458778 LCF458770:LCF458778 LMB458770:LMB458778 LVX458770:LVX458778 MFT458770:MFT458778 MPP458770:MPP458778 MZL458770:MZL458778 NJH458770:NJH458778 NTD458770:NTD458778 OCZ458770:OCZ458778 OMV458770:OMV458778 OWR458770:OWR458778 PGN458770:PGN458778 PQJ458770:PQJ458778 QAF458770:QAF458778 QKB458770:QKB458778 QTX458770:QTX458778 RDT458770:RDT458778 RNP458770:RNP458778 RXL458770:RXL458778 SHH458770:SHH458778 SRD458770:SRD458778 TAZ458770:TAZ458778 TKV458770:TKV458778 TUR458770:TUR458778 UEN458770:UEN458778 UOJ458770:UOJ458778 UYF458770:UYF458778 VIB458770:VIB458778 VRX458770:VRX458778 WBT458770:WBT458778 WLP458770:WLP458778 WVL458770:WVL458778 D524306:D524314 IZ524306:IZ524314 SV524306:SV524314 ACR524306:ACR524314 AMN524306:AMN524314 AWJ524306:AWJ524314 BGF524306:BGF524314 BQB524306:BQB524314 BZX524306:BZX524314 CJT524306:CJT524314 CTP524306:CTP524314 DDL524306:DDL524314 DNH524306:DNH524314 DXD524306:DXD524314 EGZ524306:EGZ524314 EQV524306:EQV524314 FAR524306:FAR524314 FKN524306:FKN524314 FUJ524306:FUJ524314 GEF524306:GEF524314 GOB524306:GOB524314 GXX524306:GXX524314 HHT524306:HHT524314 HRP524306:HRP524314 IBL524306:IBL524314 ILH524306:ILH524314 IVD524306:IVD524314 JEZ524306:JEZ524314 JOV524306:JOV524314 JYR524306:JYR524314 KIN524306:KIN524314 KSJ524306:KSJ524314 LCF524306:LCF524314 LMB524306:LMB524314 LVX524306:LVX524314 MFT524306:MFT524314 MPP524306:MPP524314 MZL524306:MZL524314 NJH524306:NJH524314 NTD524306:NTD524314 OCZ524306:OCZ524314 OMV524306:OMV524314 OWR524306:OWR524314 PGN524306:PGN524314 PQJ524306:PQJ524314 QAF524306:QAF524314 QKB524306:QKB524314 QTX524306:QTX524314 RDT524306:RDT524314 RNP524306:RNP524314 RXL524306:RXL524314 SHH524306:SHH524314 SRD524306:SRD524314 TAZ524306:TAZ524314 TKV524306:TKV524314 TUR524306:TUR524314 UEN524306:UEN524314 UOJ524306:UOJ524314 UYF524306:UYF524314 VIB524306:VIB524314 VRX524306:VRX524314 WBT524306:WBT524314 WLP524306:WLP524314 WVL524306:WVL524314 D589842:D589850 IZ589842:IZ589850 SV589842:SV589850 ACR589842:ACR589850 AMN589842:AMN589850 AWJ589842:AWJ589850 BGF589842:BGF589850 BQB589842:BQB589850 BZX589842:BZX589850 CJT589842:CJT589850 CTP589842:CTP589850 DDL589842:DDL589850 DNH589842:DNH589850 DXD589842:DXD589850 EGZ589842:EGZ589850 EQV589842:EQV589850 FAR589842:FAR589850 FKN589842:FKN589850 FUJ589842:FUJ589850 GEF589842:GEF589850 GOB589842:GOB589850 GXX589842:GXX589850 HHT589842:HHT589850 HRP589842:HRP589850 IBL589842:IBL589850 ILH589842:ILH589850 IVD589842:IVD589850 JEZ589842:JEZ589850 JOV589842:JOV589850 JYR589842:JYR589850 KIN589842:KIN589850 KSJ589842:KSJ589850 LCF589842:LCF589850 LMB589842:LMB589850 LVX589842:LVX589850 MFT589842:MFT589850 MPP589842:MPP589850 MZL589842:MZL589850 NJH589842:NJH589850 NTD589842:NTD589850 OCZ589842:OCZ589850 OMV589842:OMV589850 OWR589842:OWR589850 PGN589842:PGN589850 PQJ589842:PQJ589850 QAF589842:QAF589850 QKB589842:QKB589850 QTX589842:QTX589850 RDT589842:RDT589850 RNP589842:RNP589850 RXL589842:RXL589850 SHH589842:SHH589850 SRD589842:SRD589850 TAZ589842:TAZ589850 TKV589842:TKV589850 TUR589842:TUR589850 UEN589842:UEN589850 UOJ589842:UOJ589850 UYF589842:UYF589850 VIB589842:VIB589850 VRX589842:VRX589850 WBT589842:WBT589850 WLP589842:WLP589850 WVL589842:WVL589850 D655378:D655386 IZ655378:IZ655386 SV655378:SV655386 ACR655378:ACR655386 AMN655378:AMN655386 AWJ655378:AWJ655386 BGF655378:BGF655386 BQB655378:BQB655386 BZX655378:BZX655386 CJT655378:CJT655386 CTP655378:CTP655386 DDL655378:DDL655386 DNH655378:DNH655386 DXD655378:DXD655386 EGZ655378:EGZ655386 EQV655378:EQV655386 FAR655378:FAR655386 FKN655378:FKN655386 FUJ655378:FUJ655386 GEF655378:GEF655386 GOB655378:GOB655386 GXX655378:GXX655386 HHT655378:HHT655386 HRP655378:HRP655386 IBL655378:IBL655386 ILH655378:ILH655386 IVD655378:IVD655386 JEZ655378:JEZ655386 JOV655378:JOV655386 JYR655378:JYR655386 KIN655378:KIN655386 KSJ655378:KSJ655386 LCF655378:LCF655386 LMB655378:LMB655386 LVX655378:LVX655386 MFT655378:MFT655386 MPP655378:MPP655386 MZL655378:MZL655386 NJH655378:NJH655386 NTD655378:NTD655386 OCZ655378:OCZ655386 OMV655378:OMV655386 OWR655378:OWR655386 PGN655378:PGN655386 PQJ655378:PQJ655386 QAF655378:QAF655386 QKB655378:QKB655386 QTX655378:QTX655386 RDT655378:RDT655386 RNP655378:RNP655386 RXL655378:RXL655386 SHH655378:SHH655386 SRD655378:SRD655386 TAZ655378:TAZ655386 TKV655378:TKV655386 TUR655378:TUR655386 UEN655378:UEN655386 UOJ655378:UOJ655386 UYF655378:UYF655386 VIB655378:VIB655386 VRX655378:VRX655386 WBT655378:WBT655386 WLP655378:WLP655386 WVL655378:WVL655386 D720914:D720922 IZ720914:IZ720922 SV720914:SV720922 ACR720914:ACR720922 AMN720914:AMN720922 AWJ720914:AWJ720922 BGF720914:BGF720922 BQB720914:BQB720922 BZX720914:BZX720922 CJT720914:CJT720922 CTP720914:CTP720922 DDL720914:DDL720922 DNH720914:DNH720922 DXD720914:DXD720922 EGZ720914:EGZ720922 EQV720914:EQV720922 FAR720914:FAR720922 FKN720914:FKN720922 FUJ720914:FUJ720922 GEF720914:GEF720922 GOB720914:GOB720922 GXX720914:GXX720922 HHT720914:HHT720922 HRP720914:HRP720922 IBL720914:IBL720922 ILH720914:ILH720922 IVD720914:IVD720922 JEZ720914:JEZ720922 JOV720914:JOV720922 JYR720914:JYR720922 KIN720914:KIN720922 KSJ720914:KSJ720922 LCF720914:LCF720922 LMB720914:LMB720922 LVX720914:LVX720922 MFT720914:MFT720922 MPP720914:MPP720922 MZL720914:MZL720922 NJH720914:NJH720922 NTD720914:NTD720922 OCZ720914:OCZ720922 OMV720914:OMV720922 OWR720914:OWR720922 PGN720914:PGN720922 PQJ720914:PQJ720922 QAF720914:QAF720922 QKB720914:QKB720922 QTX720914:QTX720922 RDT720914:RDT720922 RNP720914:RNP720922 RXL720914:RXL720922 SHH720914:SHH720922 SRD720914:SRD720922 TAZ720914:TAZ720922 TKV720914:TKV720922 TUR720914:TUR720922 UEN720914:UEN720922 UOJ720914:UOJ720922 UYF720914:UYF720922 VIB720914:VIB720922 VRX720914:VRX720922 WBT720914:WBT720922 WLP720914:WLP720922 WVL720914:WVL720922 D786450:D786458 IZ786450:IZ786458 SV786450:SV786458 ACR786450:ACR786458 AMN786450:AMN786458 AWJ786450:AWJ786458 BGF786450:BGF786458 BQB786450:BQB786458 BZX786450:BZX786458 CJT786450:CJT786458 CTP786450:CTP786458 DDL786450:DDL786458 DNH786450:DNH786458 DXD786450:DXD786458 EGZ786450:EGZ786458 EQV786450:EQV786458 FAR786450:FAR786458 FKN786450:FKN786458 FUJ786450:FUJ786458 GEF786450:GEF786458 GOB786450:GOB786458 GXX786450:GXX786458 HHT786450:HHT786458 HRP786450:HRP786458 IBL786450:IBL786458 ILH786450:ILH786458 IVD786450:IVD786458 JEZ786450:JEZ786458 JOV786450:JOV786458 JYR786450:JYR786458 KIN786450:KIN786458 KSJ786450:KSJ786458 LCF786450:LCF786458 LMB786450:LMB786458 LVX786450:LVX786458 MFT786450:MFT786458 MPP786450:MPP786458 MZL786450:MZL786458 NJH786450:NJH786458 NTD786450:NTD786458 OCZ786450:OCZ786458 OMV786450:OMV786458 OWR786450:OWR786458 PGN786450:PGN786458 PQJ786450:PQJ786458 QAF786450:QAF786458 QKB786450:QKB786458 QTX786450:QTX786458 RDT786450:RDT786458 RNP786450:RNP786458 RXL786450:RXL786458 SHH786450:SHH786458 SRD786450:SRD786458 TAZ786450:TAZ786458 TKV786450:TKV786458 TUR786450:TUR786458 UEN786450:UEN786458 UOJ786450:UOJ786458 UYF786450:UYF786458 VIB786450:VIB786458 VRX786450:VRX786458 WBT786450:WBT786458 WLP786450:WLP786458 WVL786450:WVL786458 D851986:D851994 IZ851986:IZ851994 SV851986:SV851994 ACR851986:ACR851994 AMN851986:AMN851994 AWJ851986:AWJ851994 BGF851986:BGF851994 BQB851986:BQB851994 BZX851986:BZX851994 CJT851986:CJT851994 CTP851986:CTP851994 DDL851986:DDL851994 DNH851986:DNH851994 DXD851986:DXD851994 EGZ851986:EGZ851994 EQV851986:EQV851994 FAR851986:FAR851994 FKN851986:FKN851994 FUJ851986:FUJ851994 GEF851986:GEF851994 GOB851986:GOB851994 GXX851986:GXX851994 HHT851986:HHT851994 HRP851986:HRP851994 IBL851986:IBL851994 ILH851986:ILH851994 IVD851986:IVD851994 JEZ851986:JEZ851994 JOV851986:JOV851994 JYR851986:JYR851994 KIN851986:KIN851994 KSJ851986:KSJ851994 LCF851986:LCF851994 LMB851986:LMB851994 LVX851986:LVX851994 MFT851986:MFT851994 MPP851986:MPP851994 MZL851986:MZL851994 NJH851986:NJH851994 NTD851986:NTD851994 OCZ851986:OCZ851994 OMV851986:OMV851994 OWR851986:OWR851994 PGN851986:PGN851994 PQJ851986:PQJ851994 QAF851986:QAF851994 QKB851986:QKB851994 QTX851986:QTX851994 RDT851986:RDT851994 RNP851986:RNP851994 RXL851986:RXL851994 SHH851986:SHH851994 SRD851986:SRD851994 TAZ851986:TAZ851994 TKV851986:TKV851994 TUR851986:TUR851994 UEN851986:UEN851994 UOJ851986:UOJ851994 UYF851986:UYF851994 VIB851986:VIB851994 VRX851986:VRX851994 WBT851986:WBT851994 WLP851986:WLP851994 WVL851986:WVL851994 D917522:D917530 IZ917522:IZ917530 SV917522:SV917530 ACR917522:ACR917530 AMN917522:AMN917530 AWJ917522:AWJ917530 BGF917522:BGF917530 BQB917522:BQB917530 BZX917522:BZX917530 CJT917522:CJT917530 CTP917522:CTP917530 DDL917522:DDL917530 DNH917522:DNH917530 DXD917522:DXD917530 EGZ917522:EGZ917530 EQV917522:EQV917530 FAR917522:FAR917530 FKN917522:FKN917530 FUJ917522:FUJ917530 GEF917522:GEF917530 GOB917522:GOB917530 GXX917522:GXX917530 HHT917522:HHT917530 HRP917522:HRP917530 IBL917522:IBL917530 ILH917522:ILH917530 IVD917522:IVD917530 JEZ917522:JEZ917530 JOV917522:JOV917530 JYR917522:JYR917530 KIN917522:KIN917530 KSJ917522:KSJ917530 LCF917522:LCF917530 LMB917522:LMB917530 LVX917522:LVX917530 MFT917522:MFT917530 MPP917522:MPP917530 MZL917522:MZL917530 NJH917522:NJH917530 NTD917522:NTD917530 OCZ917522:OCZ917530 OMV917522:OMV917530 OWR917522:OWR917530 PGN917522:PGN917530 PQJ917522:PQJ917530 QAF917522:QAF917530 QKB917522:QKB917530 QTX917522:QTX917530 RDT917522:RDT917530 RNP917522:RNP917530 RXL917522:RXL917530 SHH917522:SHH917530 SRD917522:SRD917530 TAZ917522:TAZ917530 TKV917522:TKV917530 TUR917522:TUR917530 UEN917522:UEN917530 UOJ917522:UOJ917530 UYF917522:UYF917530 VIB917522:VIB917530 VRX917522:VRX917530 WBT917522:WBT917530 WLP917522:WLP917530 WVL917522:WVL917530 D983058:D983066 IZ983058:IZ983066 SV983058:SV983066 ACR983058:ACR983066 AMN983058:AMN983066 AWJ983058:AWJ983066 BGF983058:BGF983066 BQB983058:BQB983066 BZX983058:BZX983066 CJT983058:CJT983066 CTP983058:CTP983066 DDL983058:DDL983066 DNH983058:DNH983066 DXD983058:DXD983066 EGZ983058:EGZ983066 EQV983058:EQV983066 FAR983058:FAR983066 FKN983058:FKN983066 FUJ983058:FUJ983066 GEF983058:GEF983066 GOB983058:GOB983066 GXX983058:GXX983066 HHT983058:HHT983066 HRP983058:HRP983066 IBL983058:IBL983066 ILH983058:ILH983066 IVD983058:IVD983066 JEZ983058:JEZ983066 JOV983058:JOV983066 JYR983058:JYR983066 KIN983058:KIN983066 KSJ983058:KSJ983066 LCF983058:LCF983066 LMB983058:LMB983066 LVX983058:LVX983066 MFT983058:MFT983066 MPP983058:MPP983066 MZL983058:MZL983066 NJH983058:NJH983066 NTD983058:NTD983066 OCZ983058:OCZ983066 OMV983058:OMV983066 OWR983058:OWR983066 PGN983058:PGN983066 PQJ983058:PQJ983066 QAF983058:QAF983066 QKB983058:QKB983066 QTX983058:QTX983066 RDT983058:RDT983066 RNP983058:RNP983066 RXL983058:RXL983066 SHH983058:SHH983066 SRD983058:SRD983066 TAZ983058:TAZ983066 TKV983058:TKV983066 TUR983058:TUR983066 UEN983058:UEN983066 UOJ983058:UOJ983066 UYF983058:UYF983066 VIB983058:VIB983066 VRX983058:VRX983066 WBT983058:WBT983066 WLP983058:WLP983066 WVL983058:WVL983066" xr:uid="{146977E9-D0DC-4B1D-B72B-942FE197627A}">
      <formula1>$D$36:$D$46</formula1>
    </dataValidation>
  </dataValidations>
  <printOptions horizontalCentered="1"/>
  <pageMargins left="0.23622047244094491" right="0.23622047244094491" top="0.94488188976377963" bottom="0.74803149606299213" header="0.31496062992125984" footer="0.31496062992125984"/>
  <pageSetup paperSize="9" fitToHeight="100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zoomScale="55" zoomScaleNormal="55" workbookViewId="0">
      <selection activeCell="H30" sqref="H30"/>
    </sheetView>
  </sheetViews>
  <sheetFormatPr defaultRowHeight="22.5" customHeight="1" x14ac:dyDescent="0.15"/>
  <cols>
    <col min="1" max="1" width="3.21875" style="35" customWidth="1"/>
    <col min="2" max="2" width="12.77734375" style="52" customWidth="1"/>
    <col min="3" max="3" width="20.77734375" style="53" customWidth="1"/>
    <col min="4" max="4" width="25.77734375" style="54" customWidth="1"/>
    <col min="5" max="5" width="6.77734375" style="35" customWidth="1"/>
    <col min="6" max="6" width="6.77734375" style="55" customWidth="1"/>
    <col min="7" max="7" width="10.109375" style="56" customWidth="1"/>
    <col min="8" max="8" width="15.77734375" style="56" customWidth="1"/>
    <col min="9" max="9" width="40.77734375" style="51" customWidth="1"/>
    <col min="10" max="16384" width="8.88671875" style="1"/>
  </cols>
  <sheetData>
    <row r="1" spans="1:9" ht="22.5" customHeight="1" x14ac:dyDescent="0.5">
      <c r="A1" s="2"/>
      <c r="B1" s="70" t="s">
        <v>0</v>
      </c>
      <c r="C1" s="71"/>
      <c r="D1" s="71"/>
      <c r="E1" s="71"/>
      <c r="F1" s="71"/>
      <c r="G1" s="71"/>
      <c r="H1" s="71"/>
      <c r="I1" s="71"/>
    </row>
    <row r="2" spans="1:9" ht="22.5" customHeight="1" x14ac:dyDescent="0.15">
      <c r="A2" s="2"/>
      <c r="B2" s="3"/>
      <c r="C2" s="4"/>
      <c r="D2" s="5"/>
      <c r="E2" s="5"/>
      <c r="F2" s="6"/>
      <c r="G2" s="7"/>
      <c r="H2" s="6"/>
      <c r="I2" s="8"/>
    </row>
    <row r="3" spans="1:9" ht="22.5" customHeight="1" x14ac:dyDescent="0.15">
      <c r="A3" s="2"/>
      <c r="B3" s="9" t="s">
        <v>1</v>
      </c>
      <c r="C3" s="4"/>
      <c r="D3" s="5"/>
      <c r="E3" s="5"/>
      <c r="F3" s="6"/>
      <c r="G3" s="7"/>
      <c r="H3" s="6"/>
      <c r="I3" s="8"/>
    </row>
    <row r="4" spans="1:9" ht="22.5" customHeight="1" x14ac:dyDescent="0.15">
      <c r="A4" s="2"/>
      <c r="B4" s="10" t="s">
        <v>2</v>
      </c>
      <c r="C4" s="11"/>
      <c r="D4" s="12"/>
      <c r="E4" s="13"/>
      <c r="F4" s="14"/>
      <c r="G4" s="15"/>
      <c r="H4" s="15"/>
      <c r="I4" s="8"/>
    </row>
    <row r="5" spans="1:9" ht="22.5" customHeight="1" x14ac:dyDescent="0.15">
      <c r="A5" s="2"/>
      <c r="B5" s="72" t="s">
        <v>3</v>
      </c>
      <c r="C5" s="73" t="s">
        <v>4</v>
      </c>
      <c r="D5" s="73" t="s">
        <v>5</v>
      </c>
      <c r="E5" s="74" t="s">
        <v>6</v>
      </c>
      <c r="F5" s="75" t="s">
        <v>7</v>
      </c>
      <c r="G5" s="75" t="s">
        <v>8</v>
      </c>
      <c r="H5" s="75" t="s">
        <v>9</v>
      </c>
      <c r="I5" s="72" t="s">
        <v>10</v>
      </c>
    </row>
    <row r="6" spans="1:9" ht="22.5" customHeight="1" x14ac:dyDescent="0.15">
      <c r="A6" s="13"/>
      <c r="B6" s="72"/>
      <c r="C6" s="73"/>
      <c r="D6" s="73"/>
      <c r="E6" s="74"/>
      <c r="F6" s="75"/>
      <c r="G6" s="75"/>
      <c r="H6" s="75"/>
      <c r="I6" s="72"/>
    </row>
    <row r="7" spans="1:9" ht="22.5" customHeight="1" x14ac:dyDescent="0.15">
      <c r="A7" s="13"/>
      <c r="B7" s="16" t="s">
        <v>19</v>
      </c>
      <c r="C7" s="57" t="s">
        <v>33</v>
      </c>
      <c r="D7" s="58" t="s">
        <v>37</v>
      </c>
      <c r="E7" s="59" t="s">
        <v>13</v>
      </c>
      <c r="F7" s="60">
        <v>10</v>
      </c>
      <c r="G7" s="60">
        <v>492039</v>
      </c>
      <c r="H7" s="60">
        <f>F7*G7</f>
        <v>4920390</v>
      </c>
      <c r="I7" s="82" t="s">
        <v>65</v>
      </c>
    </row>
    <row r="8" spans="1:9" ht="22.5" customHeight="1" x14ac:dyDescent="0.15">
      <c r="A8" s="13"/>
      <c r="B8" s="23"/>
      <c r="C8" s="57" t="s">
        <v>34</v>
      </c>
      <c r="D8" s="58" t="s">
        <v>64</v>
      </c>
      <c r="E8" s="59" t="s">
        <v>13</v>
      </c>
      <c r="F8" s="60">
        <v>5</v>
      </c>
      <c r="G8" s="60">
        <v>541621</v>
      </c>
      <c r="H8" s="60">
        <f t="shared" ref="H8:H13" si="0">F8*G8</f>
        <v>2708105</v>
      </c>
      <c r="I8" s="82" t="s">
        <v>66</v>
      </c>
    </row>
    <row r="9" spans="1:9" ht="22.5" customHeight="1" x14ac:dyDescent="0.15">
      <c r="A9" s="13"/>
      <c r="B9" s="23"/>
      <c r="C9" s="57" t="s">
        <v>35</v>
      </c>
      <c r="D9" s="58" t="s">
        <v>62</v>
      </c>
      <c r="E9" s="59" t="s">
        <v>13</v>
      </c>
      <c r="F9" s="60">
        <v>5</v>
      </c>
      <c r="G9" s="60">
        <v>251671</v>
      </c>
      <c r="H9" s="60">
        <f t="shared" si="0"/>
        <v>1258355</v>
      </c>
      <c r="I9" s="82" t="s">
        <v>67</v>
      </c>
    </row>
    <row r="10" spans="1:9" ht="22.5" customHeight="1" x14ac:dyDescent="0.15">
      <c r="A10" s="13"/>
      <c r="B10" s="23"/>
      <c r="C10" s="57" t="s">
        <v>47</v>
      </c>
      <c r="D10" s="58" t="s">
        <v>62</v>
      </c>
      <c r="E10" s="59" t="s">
        <v>13</v>
      </c>
      <c r="F10" s="60">
        <v>5</v>
      </c>
      <c r="G10" s="60">
        <v>414600</v>
      </c>
      <c r="H10" s="60">
        <f t="shared" si="0"/>
        <v>2073000</v>
      </c>
      <c r="I10" s="82" t="s">
        <v>68</v>
      </c>
    </row>
    <row r="11" spans="1:9" ht="22.5" customHeight="1" x14ac:dyDescent="0.15">
      <c r="A11" s="13"/>
      <c r="B11" s="23"/>
      <c r="C11" s="57" t="s">
        <v>36</v>
      </c>
      <c r="D11" s="58" t="s">
        <v>69</v>
      </c>
      <c r="E11" s="59" t="s">
        <v>13</v>
      </c>
      <c r="F11" s="60">
        <v>20</v>
      </c>
      <c r="G11" s="60">
        <v>378250</v>
      </c>
      <c r="H11" s="60">
        <f t="shared" si="0"/>
        <v>7565000</v>
      </c>
      <c r="I11" s="82" t="s">
        <v>70</v>
      </c>
    </row>
    <row r="12" spans="1:9" ht="22.5" customHeight="1" x14ac:dyDescent="0.15">
      <c r="A12" s="13"/>
      <c r="B12" s="24"/>
      <c r="C12" s="57" t="s">
        <v>36</v>
      </c>
      <c r="D12" s="58" t="s">
        <v>69</v>
      </c>
      <c r="E12" s="59" t="s">
        <v>13</v>
      </c>
      <c r="F12" s="60">
        <v>20</v>
      </c>
      <c r="G12" s="60">
        <v>378250</v>
      </c>
      <c r="H12" s="60">
        <f t="shared" si="0"/>
        <v>7565000</v>
      </c>
      <c r="I12" s="82" t="s">
        <v>71</v>
      </c>
    </row>
    <row r="13" spans="1:9" ht="22.5" customHeight="1" x14ac:dyDescent="0.15">
      <c r="A13" s="13"/>
      <c r="B13" s="24"/>
      <c r="C13" s="57" t="s">
        <v>36</v>
      </c>
      <c r="D13" s="58" t="s">
        <v>69</v>
      </c>
      <c r="E13" s="59" t="s">
        <v>13</v>
      </c>
      <c r="F13" s="60">
        <v>20</v>
      </c>
      <c r="G13" s="60">
        <v>378250</v>
      </c>
      <c r="H13" s="60">
        <f t="shared" si="0"/>
        <v>7565000</v>
      </c>
      <c r="I13" s="82" t="s">
        <v>72</v>
      </c>
    </row>
    <row r="14" spans="1:9" ht="22.5" customHeight="1" x14ac:dyDescent="0.15">
      <c r="A14" s="25"/>
      <c r="B14" s="23"/>
      <c r="C14" s="26" t="s">
        <v>20</v>
      </c>
      <c r="D14" s="26"/>
      <c r="E14" s="27"/>
      <c r="F14" s="28"/>
      <c r="G14" s="29"/>
      <c r="H14" s="29">
        <f>SUM(H7:H13)</f>
        <v>33654850</v>
      </c>
      <c r="I14" s="30"/>
    </row>
    <row r="15" spans="1:9" ht="22.5" customHeight="1" x14ac:dyDescent="0.15">
      <c r="A15" s="25"/>
      <c r="B15" s="23"/>
      <c r="C15" s="31"/>
      <c r="D15" s="31"/>
      <c r="E15" s="32"/>
      <c r="F15" s="33"/>
      <c r="G15" s="34"/>
      <c r="H15" s="34"/>
      <c r="I15" s="30"/>
    </row>
    <row r="16" spans="1:9" ht="22.5" customHeight="1" x14ac:dyDescent="0.15">
      <c r="B16" s="36"/>
      <c r="C16" s="37"/>
      <c r="D16" s="19"/>
      <c r="E16" s="38"/>
      <c r="F16" s="39"/>
      <c r="G16" s="40"/>
      <c r="H16" s="40"/>
      <c r="I16" s="22"/>
    </row>
    <row r="17" spans="1:9" ht="22.5" customHeight="1" x14ac:dyDescent="0.15">
      <c r="A17" s="13"/>
      <c r="B17" s="23" t="s">
        <v>21</v>
      </c>
      <c r="C17" s="17" t="s">
        <v>22</v>
      </c>
      <c r="D17" s="18"/>
      <c r="E17" s="19" t="s">
        <v>23</v>
      </c>
      <c r="F17" s="20"/>
      <c r="G17" s="21"/>
      <c r="H17" s="21"/>
      <c r="I17" s="22" t="s">
        <v>24</v>
      </c>
    </row>
    <row r="18" spans="1:9" ht="22.5" customHeight="1" x14ac:dyDescent="0.15">
      <c r="A18" s="13"/>
      <c r="B18" s="23"/>
      <c r="C18" s="17" t="s">
        <v>25</v>
      </c>
      <c r="D18" s="18"/>
      <c r="E18" s="19" t="s">
        <v>23</v>
      </c>
      <c r="F18" s="20"/>
      <c r="G18" s="41"/>
      <c r="H18" s="21"/>
      <c r="I18" s="22"/>
    </row>
    <row r="19" spans="1:9" ht="22.5" customHeight="1" x14ac:dyDescent="0.15">
      <c r="A19" s="13"/>
      <c r="B19" s="23"/>
      <c r="C19" s="17" t="s">
        <v>14</v>
      </c>
      <c r="D19" s="18"/>
      <c r="E19" s="19" t="s">
        <v>23</v>
      </c>
      <c r="F19" s="20"/>
      <c r="G19" s="41"/>
      <c r="H19" s="21"/>
      <c r="I19" s="22" t="s">
        <v>26</v>
      </c>
    </row>
    <row r="20" spans="1:9" ht="22.5" customHeight="1" x14ac:dyDescent="0.15">
      <c r="A20" s="13"/>
      <c r="B20" s="23"/>
      <c r="C20" s="17" t="s">
        <v>11</v>
      </c>
      <c r="D20" s="18"/>
      <c r="E20" s="20" t="s">
        <v>12</v>
      </c>
      <c r="F20" s="20"/>
      <c r="G20" s="20"/>
      <c r="H20" s="20"/>
      <c r="I20" s="22"/>
    </row>
    <row r="21" spans="1:9" ht="22.5" customHeight="1" x14ac:dyDescent="0.15">
      <c r="A21" s="25"/>
      <c r="B21" s="23"/>
      <c r="C21" s="26" t="s">
        <v>15</v>
      </c>
      <c r="D21" s="26"/>
      <c r="E21" s="27"/>
      <c r="F21" s="28"/>
      <c r="G21" s="29"/>
      <c r="H21" s="29">
        <f>SUM(H17:H20)</f>
        <v>0</v>
      </c>
      <c r="I21" s="42"/>
    </row>
    <row r="22" spans="1:9" ht="22.5" customHeight="1" x14ac:dyDescent="0.15">
      <c r="A22" s="25"/>
      <c r="B22" s="23"/>
      <c r="C22" s="31"/>
      <c r="D22" s="31"/>
      <c r="E22" s="32"/>
      <c r="F22" s="33"/>
      <c r="G22" s="34"/>
      <c r="H22" s="34"/>
      <c r="I22" s="43"/>
    </row>
    <row r="23" spans="1:9" ht="22.5" customHeight="1" x14ac:dyDescent="0.15">
      <c r="A23" s="13"/>
      <c r="B23" s="23"/>
      <c r="C23" s="45"/>
      <c r="D23" s="32"/>
      <c r="E23" s="19"/>
      <c r="F23" s="33"/>
      <c r="G23" s="34"/>
      <c r="H23" s="34"/>
      <c r="I23" s="22"/>
    </row>
    <row r="24" spans="1:9" ht="22.5" customHeight="1" x14ac:dyDescent="0.15">
      <c r="A24" s="25"/>
      <c r="B24" s="44" t="s">
        <v>27</v>
      </c>
      <c r="C24" s="37" t="s">
        <v>59</v>
      </c>
      <c r="D24" s="32"/>
      <c r="E24" s="32"/>
      <c r="F24" s="33"/>
      <c r="G24" s="34"/>
      <c r="H24" s="34">
        <f>(H14)*110%</f>
        <v>37020335</v>
      </c>
      <c r="I24" s="22" t="s">
        <v>57</v>
      </c>
    </row>
    <row r="25" spans="1:9" ht="22.5" customHeight="1" x14ac:dyDescent="0.15">
      <c r="A25" s="13"/>
      <c r="B25" s="36"/>
      <c r="C25" s="45"/>
      <c r="D25" s="32"/>
      <c r="E25" s="19"/>
      <c r="F25" s="20"/>
      <c r="G25" s="34"/>
      <c r="H25" s="34"/>
      <c r="I25" s="22"/>
    </row>
    <row r="26" spans="1:9" ht="22.5" customHeight="1" x14ac:dyDescent="0.15">
      <c r="A26" s="13"/>
      <c r="B26" s="23"/>
      <c r="C26" s="45"/>
      <c r="D26" s="32"/>
      <c r="E26" s="19"/>
      <c r="F26" s="33"/>
      <c r="G26" s="34"/>
      <c r="H26" s="34"/>
      <c r="I26" s="22"/>
    </row>
    <row r="27" spans="1:9" ht="22.5" customHeight="1" x14ac:dyDescent="0.15">
      <c r="A27" s="25"/>
      <c r="B27" s="23" t="s">
        <v>28</v>
      </c>
      <c r="C27" s="37" t="s">
        <v>60</v>
      </c>
      <c r="D27" s="32"/>
      <c r="E27" s="32"/>
      <c r="F27" s="33"/>
      <c r="G27" s="34"/>
      <c r="H27" s="34">
        <f>(H14+H24)*0.2</f>
        <v>14135037</v>
      </c>
      <c r="I27" s="22" t="s">
        <v>58</v>
      </c>
    </row>
    <row r="28" spans="1:9" ht="22.5" customHeight="1" x14ac:dyDescent="0.15">
      <c r="A28" s="25"/>
      <c r="B28" s="23"/>
      <c r="C28" s="45"/>
      <c r="D28" s="32"/>
      <c r="E28" s="32"/>
      <c r="F28" s="33"/>
      <c r="G28" s="34"/>
      <c r="H28" s="34"/>
      <c r="I28" s="22"/>
    </row>
    <row r="29" spans="1:9" ht="22.5" customHeight="1" x14ac:dyDescent="0.15">
      <c r="A29" s="13"/>
      <c r="B29" s="36"/>
      <c r="C29" s="45"/>
      <c r="D29" s="32"/>
      <c r="E29" s="19"/>
      <c r="F29" s="20"/>
      <c r="G29" s="34"/>
      <c r="H29" s="34"/>
      <c r="I29" s="22"/>
    </row>
    <row r="30" spans="1:9" ht="22.5" customHeight="1" x14ac:dyDescent="0.15">
      <c r="B30" s="46" t="s">
        <v>16</v>
      </c>
      <c r="C30" s="47" t="s">
        <v>17</v>
      </c>
      <c r="D30" s="47" t="s">
        <v>17</v>
      </c>
      <c r="E30" s="47" t="s">
        <v>17</v>
      </c>
      <c r="F30" s="48" t="s">
        <v>17</v>
      </c>
      <c r="G30" s="48" t="s">
        <v>17</v>
      </c>
      <c r="H30" s="49">
        <f>ROUNDDOWN(H14+H21+H24+H27,-5)</f>
        <v>84800000</v>
      </c>
      <c r="I30" s="50" t="s">
        <v>18</v>
      </c>
    </row>
    <row r="31" spans="1:9" ht="22.5" customHeight="1" x14ac:dyDescent="0.15">
      <c r="B31" s="68"/>
      <c r="C31" s="69"/>
      <c r="D31" s="69"/>
      <c r="E31" s="69"/>
      <c r="F31" s="69"/>
      <c r="G31" s="69"/>
      <c r="H31" s="69"/>
      <c r="I31" s="69"/>
    </row>
    <row r="32" spans="1:9" ht="22.5" customHeight="1" x14ac:dyDescent="0.5">
      <c r="B32" s="70" t="s">
        <v>73</v>
      </c>
      <c r="C32" s="71"/>
      <c r="D32" s="71"/>
      <c r="E32" s="71"/>
      <c r="F32" s="71"/>
      <c r="G32" s="71"/>
      <c r="H32" s="71"/>
      <c r="I32" s="71"/>
    </row>
    <row r="33" spans="2:9" ht="22.5" customHeight="1" x14ac:dyDescent="0.15">
      <c r="B33" s="83"/>
      <c r="C33" s="83"/>
      <c r="D33" s="83"/>
      <c r="E33" s="83"/>
      <c r="F33" s="83"/>
      <c r="G33" s="83"/>
      <c r="H33" s="83"/>
      <c r="I33" s="83"/>
    </row>
    <row r="34" spans="2:9" ht="22.5" customHeight="1" x14ac:dyDescent="0.15">
      <c r="B34" s="83"/>
      <c r="C34" s="83"/>
      <c r="D34" s="83"/>
      <c r="E34" s="83"/>
      <c r="F34" s="83"/>
      <c r="G34" s="83"/>
      <c r="H34" s="83"/>
      <c r="I34" s="83"/>
    </row>
    <row r="35" spans="2:9" ht="22.5" customHeight="1" x14ac:dyDescent="0.15">
      <c r="B35" s="83"/>
      <c r="C35" s="83"/>
      <c r="D35" s="83"/>
      <c r="E35" s="83"/>
      <c r="F35" s="83"/>
      <c r="G35" s="83"/>
      <c r="H35" s="83"/>
      <c r="I35" s="83"/>
    </row>
    <row r="36" spans="2:9" ht="22.5" customHeight="1" x14ac:dyDescent="0.15">
      <c r="B36" s="83"/>
      <c r="C36" s="83"/>
      <c r="D36" s="83"/>
      <c r="E36" s="83"/>
      <c r="F36" s="83"/>
      <c r="G36" s="83"/>
      <c r="H36" s="83"/>
      <c r="I36" s="83"/>
    </row>
    <row r="37" spans="2:9" ht="22.5" customHeight="1" x14ac:dyDescent="0.15">
      <c r="B37" s="83"/>
      <c r="C37" s="83"/>
      <c r="D37" s="83"/>
      <c r="E37" s="83"/>
      <c r="F37" s="83"/>
      <c r="G37" s="83"/>
      <c r="H37" s="83"/>
      <c r="I37" s="83"/>
    </row>
    <row r="38" spans="2:9" ht="22.5" customHeight="1" x14ac:dyDescent="0.15">
      <c r="B38" s="83"/>
      <c r="C38" s="83"/>
      <c r="D38" s="83"/>
      <c r="E38" s="83"/>
      <c r="F38" s="83"/>
      <c r="G38" s="83"/>
      <c r="H38" s="83"/>
      <c r="I38" s="83"/>
    </row>
    <row r="39" spans="2:9" ht="22.5" customHeight="1" x14ac:dyDescent="0.15">
      <c r="B39" s="83"/>
      <c r="C39" s="83"/>
      <c r="D39" s="83"/>
      <c r="E39" s="83"/>
      <c r="F39" s="83"/>
      <c r="G39" s="83"/>
      <c r="H39" s="83"/>
      <c r="I39" s="83"/>
    </row>
    <row r="40" spans="2:9" ht="22.5" customHeight="1" x14ac:dyDescent="0.15">
      <c r="B40" s="83"/>
      <c r="C40" s="83"/>
      <c r="D40" s="83"/>
      <c r="E40" s="83"/>
      <c r="F40" s="83"/>
      <c r="G40" s="83"/>
      <c r="H40" s="83"/>
      <c r="I40" s="83"/>
    </row>
    <row r="41" spans="2:9" ht="22.5" customHeight="1" x14ac:dyDescent="0.15">
      <c r="B41" s="83"/>
      <c r="C41" s="83"/>
      <c r="D41" s="83"/>
      <c r="E41" s="83"/>
      <c r="F41" s="83"/>
      <c r="G41" s="83"/>
      <c r="H41" s="83"/>
      <c r="I41" s="83"/>
    </row>
    <row r="42" spans="2:9" ht="22.5" customHeight="1" x14ac:dyDescent="0.15">
      <c r="B42" s="83"/>
      <c r="C42" s="83"/>
      <c r="D42" s="83"/>
      <c r="E42" s="83"/>
      <c r="F42" s="83"/>
      <c r="G42" s="83"/>
      <c r="H42" s="83"/>
      <c r="I42" s="83"/>
    </row>
    <row r="43" spans="2:9" ht="22.5" customHeight="1" x14ac:dyDescent="0.15">
      <c r="B43" s="83"/>
      <c r="C43" s="83"/>
      <c r="D43" s="83"/>
      <c r="E43" s="83"/>
      <c r="F43" s="83"/>
      <c r="G43" s="83"/>
      <c r="H43" s="83"/>
      <c r="I43" s="83"/>
    </row>
    <row r="44" spans="2:9" ht="22.5" customHeight="1" x14ac:dyDescent="0.15">
      <c r="B44" s="83"/>
      <c r="C44" s="83"/>
      <c r="D44" s="83"/>
      <c r="E44" s="83"/>
      <c r="F44" s="83"/>
      <c r="G44" s="83"/>
      <c r="H44" s="83"/>
      <c r="I44" s="83"/>
    </row>
    <row r="45" spans="2:9" ht="22.5" customHeight="1" x14ac:dyDescent="0.15">
      <c r="B45" s="83"/>
      <c r="C45" s="83"/>
      <c r="D45" s="83"/>
      <c r="E45" s="83"/>
      <c r="F45" s="83"/>
      <c r="G45" s="83"/>
      <c r="H45" s="83"/>
      <c r="I45" s="83"/>
    </row>
    <row r="46" spans="2:9" ht="22.5" customHeight="1" x14ac:dyDescent="0.15">
      <c r="B46" s="83"/>
      <c r="C46" s="83"/>
      <c r="D46" s="83"/>
      <c r="E46" s="83"/>
      <c r="F46" s="83"/>
      <c r="G46" s="83"/>
      <c r="H46" s="83"/>
      <c r="I46" s="83"/>
    </row>
    <row r="47" spans="2:9" ht="22.5" customHeight="1" x14ac:dyDescent="0.15">
      <c r="B47" s="83"/>
      <c r="C47" s="83"/>
      <c r="D47" s="83"/>
      <c r="E47" s="83"/>
      <c r="F47" s="83"/>
      <c r="G47" s="83"/>
      <c r="H47" s="83"/>
      <c r="I47" s="83"/>
    </row>
    <row r="48" spans="2:9" ht="22.5" customHeight="1" x14ac:dyDescent="0.15">
      <c r="B48" s="83"/>
      <c r="C48" s="83"/>
      <c r="D48" s="83"/>
      <c r="E48" s="83"/>
      <c r="F48" s="83"/>
      <c r="G48" s="83"/>
      <c r="H48" s="83"/>
      <c r="I48" s="83"/>
    </row>
    <row r="49" spans="2:9" ht="22.5" customHeight="1" x14ac:dyDescent="0.15">
      <c r="B49" s="83"/>
      <c r="C49" s="83"/>
      <c r="D49" s="83"/>
      <c r="E49" s="83"/>
      <c r="F49" s="83"/>
      <c r="G49" s="83"/>
      <c r="H49" s="83"/>
      <c r="I49" s="83"/>
    </row>
    <row r="50" spans="2:9" ht="22.5" customHeight="1" x14ac:dyDescent="0.15">
      <c r="B50" s="83"/>
      <c r="C50" s="83"/>
      <c r="D50" s="83"/>
      <c r="E50" s="83"/>
      <c r="F50" s="83"/>
      <c r="G50" s="83"/>
      <c r="H50" s="83"/>
      <c r="I50" s="83"/>
    </row>
    <row r="51" spans="2:9" ht="22.5" customHeight="1" x14ac:dyDescent="0.15">
      <c r="B51" s="83"/>
      <c r="C51" s="83"/>
      <c r="D51" s="83"/>
      <c r="E51" s="83"/>
      <c r="F51" s="83"/>
      <c r="G51" s="83"/>
      <c r="H51" s="83"/>
      <c r="I51" s="83"/>
    </row>
    <row r="52" spans="2:9" ht="22.5" customHeight="1" x14ac:dyDescent="0.15">
      <c r="B52" s="83"/>
      <c r="C52" s="83"/>
      <c r="D52" s="83"/>
      <c r="E52" s="83"/>
      <c r="F52" s="83"/>
      <c r="G52" s="83"/>
      <c r="H52" s="83"/>
      <c r="I52" s="83"/>
    </row>
    <row r="53" spans="2:9" ht="22.5" customHeight="1" x14ac:dyDescent="0.15">
      <c r="B53" s="83"/>
      <c r="C53" s="83"/>
      <c r="D53" s="83"/>
      <c r="E53" s="83"/>
      <c r="F53" s="83"/>
      <c r="G53" s="83"/>
      <c r="H53" s="83"/>
      <c r="I53" s="83"/>
    </row>
  </sheetData>
  <mergeCells count="12">
    <mergeCell ref="B31:I31"/>
    <mergeCell ref="B32:I32"/>
    <mergeCell ref="B1:I1"/>
    <mergeCell ref="B5:B6"/>
    <mergeCell ref="C5:C6"/>
    <mergeCell ref="D5:D6"/>
    <mergeCell ref="E5:E6"/>
    <mergeCell ref="F5:F6"/>
    <mergeCell ref="G5:G6"/>
    <mergeCell ref="H5:H6"/>
    <mergeCell ref="I5:I6"/>
    <mergeCell ref="B33:I53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C74A-40BC-4A26-A463-43CABCFA09E8}">
  <dimension ref="A1:D31"/>
  <sheetViews>
    <sheetView workbookViewId="0">
      <selection activeCell="A2" sqref="A2:D2"/>
    </sheetView>
  </sheetViews>
  <sheetFormatPr defaultRowHeight="13.5" x14ac:dyDescent="0.15"/>
  <cols>
    <col min="1" max="1" width="21" customWidth="1"/>
    <col min="2" max="2" width="17.109375" customWidth="1"/>
    <col min="3" max="3" width="16.109375" customWidth="1"/>
    <col min="4" max="4" width="17.109375" customWidth="1"/>
    <col min="5" max="8" width="10.77734375" customWidth="1"/>
    <col min="257" max="257" width="21" customWidth="1"/>
    <col min="258" max="258" width="17.109375" customWidth="1"/>
    <col min="259" max="259" width="16.109375" customWidth="1"/>
    <col min="260" max="260" width="17.109375" customWidth="1"/>
    <col min="261" max="264" width="10.77734375" customWidth="1"/>
    <col min="513" max="513" width="21" customWidth="1"/>
    <col min="514" max="514" width="17.109375" customWidth="1"/>
    <col min="515" max="515" width="16.109375" customWidth="1"/>
    <col min="516" max="516" width="17.109375" customWidth="1"/>
    <col min="517" max="520" width="10.77734375" customWidth="1"/>
    <col min="769" max="769" width="21" customWidth="1"/>
    <col min="770" max="770" width="17.109375" customWidth="1"/>
    <col min="771" max="771" width="16.109375" customWidth="1"/>
    <col min="772" max="772" width="17.109375" customWidth="1"/>
    <col min="773" max="776" width="10.77734375" customWidth="1"/>
    <col min="1025" max="1025" width="21" customWidth="1"/>
    <col min="1026" max="1026" width="17.109375" customWidth="1"/>
    <col min="1027" max="1027" width="16.109375" customWidth="1"/>
    <col min="1028" max="1028" width="17.109375" customWidth="1"/>
    <col min="1029" max="1032" width="10.77734375" customWidth="1"/>
    <col min="1281" max="1281" width="21" customWidth="1"/>
    <col min="1282" max="1282" width="17.109375" customWidth="1"/>
    <col min="1283" max="1283" width="16.109375" customWidth="1"/>
    <col min="1284" max="1284" width="17.109375" customWidth="1"/>
    <col min="1285" max="1288" width="10.77734375" customWidth="1"/>
    <col min="1537" max="1537" width="21" customWidth="1"/>
    <col min="1538" max="1538" width="17.109375" customWidth="1"/>
    <col min="1539" max="1539" width="16.109375" customWidth="1"/>
    <col min="1540" max="1540" width="17.109375" customWidth="1"/>
    <col min="1541" max="1544" width="10.77734375" customWidth="1"/>
    <col min="1793" max="1793" width="21" customWidth="1"/>
    <col min="1794" max="1794" width="17.109375" customWidth="1"/>
    <col min="1795" max="1795" width="16.109375" customWidth="1"/>
    <col min="1796" max="1796" width="17.109375" customWidth="1"/>
    <col min="1797" max="1800" width="10.77734375" customWidth="1"/>
    <col min="2049" max="2049" width="21" customWidth="1"/>
    <col min="2050" max="2050" width="17.109375" customWidth="1"/>
    <col min="2051" max="2051" width="16.109375" customWidth="1"/>
    <col min="2052" max="2052" width="17.109375" customWidth="1"/>
    <col min="2053" max="2056" width="10.77734375" customWidth="1"/>
    <col min="2305" max="2305" width="21" customWidth="1"/>
    <col min="2306" max="2306" width="17.109375" customWidth="1"/>
    <col min="2307" max="2307" width="16.109375" customWidth="1"/>
    <col min="2308" max="2308" width="17.109375" customWidth="1"/>
    <col min="2309" max="2312" width="10.77734375" customWidth="1"/>
    <col min="2561" max="2561" width="21" customWidth="1"/>
    <col min="2562" max="2562" width="17.109375" customWidth="1"/>
    <col min="2563" max="2563" width="16.109375" customWidth="1"/>
    <col min="2564" max="2564" width="17.109375" customWidth="1"/>
    <col min="2565" max="2568" width="10.77734375" customWidth="1"/>
    <col min="2817" max="2817" width="21" customWidth="1"/>
    <col min="2818" max="2818" width="17.109375" customWidth="1"/>
    <col min="2819" max="2819" width="16.109375" customWidth="1"/>
    <col min="2820" max="2820" width="17.109375" customWidth="1"/>
    <col min="2821" max="2824" width="10.77734375" customWidth="1"/>
    <col min="3073" max="3073" width="21" customWidth="1"/>
    <col min="3074" max="3074" width="17.109375" customWidth="1"/>
    <col min="3075" max="3075" width="16.109375" customWidth="1"/>
    <col min="3076" max="3076" width="17.109375" customWidth="1"/>
    <col min="3077" max="3080" width="10.77734375" customWidth="1"/>
    <col min="3329" max="3329" width="21" customWidth="1"/>
    <col min="3330" max="3330" width="17.109375" customWidth="1"/>
    <col min="3331" max="3331" width="16.109375" customWidth="1"/>
    <col min="3332" max="3332" width="17.109375" customWidth="1"/>
    <col min="3333" max="3336" width="10.77734375" customWidth="1"/>
    <col min="3585" max="3585" width="21" customWidth="1"/>
    <col min="3586" max="3586" width="17.109375" customWidth="1"/>
    <col min="3587" max="3587" width="16.109375" customWidth="1"/>
    <col min="3588" max="3588" width="17.109375" customWidth="1"/>
    <col min="3589" max="3592" width="10.77734375" customWidth="1"/>
    <col min="3841" max="3841" width="21" customWidth="1"/>
    <col min="3842" max="3842" width="17.109375" customWidth="1"/>
    <col min="3843" max="3843" width="16.109375" customWidth="1"/>
    <col min="3844" max="3844" width="17.109375" customWidth="1"/>
    <col min="3845" max="3848" width="10.77734375" customWidth="1"/>
    <col min="4097" max="4097" width="21" customWidth="1"/>
    <col min="4098" max="4098" width="17.109375" customWidth="1"/>
    <col min="4099" max="4099" width="16.109375" customWidth="1"/>
    <col min="4100" max="4100" width="17.109375" customWidth="1"/>
    <col min="4101" max="4104" width="10.77734375" customWidth="1"/>
    <col min="4353" max="4353" width="21" customWidth="1"/>
    <col min="4354" max="4354" width="17.109375" customWidth="1"/>
    <col min="4355" max="4355" width="16.109375" customWidth="1"/>
    <col min="4356" max="4356" width="17.109375" customWidth="1"/>
    <col min="4357" max="4360" width="10.77734375" customWidth="1"/>
    <col min="4609" max="4609" width="21" customWidth="1"/>
    <col min="4610" max="4610" width="17.109375" customWidth="1"/>
    <col min="4611" max="4611" width="16.109375" customWidth="1"/>
    <col min="4612" max="4612" width="17.109375" customWidth="1"/>
    <col min="4613" max="4616" width="10.77734375" customWidth="1"/>
    <col min="4865" max="4865" width="21" customWidth="1"/>
    <col min="4866" max="4866" width="17.109375" customWidth="1"/>
    <col min="4867" max="4867" width="16.109375" customWidth="1"/>
    <col min="4868" max="4868" width="17.109375" customWidth="1"/>
    <col min="4869" max="4872" width="10.77734375" customWidth="1"/>
    <col min="5121" max="5121" width="21" customWidth="1"/>
    <col min="5122" max="5122" width="17.109375" customWidth="1"/>
    <col min="5123" max="5123" width="16.109375" customWidth="1"/>
    <col min="5124" max="5124" width="17.109375" customWidth="1"/>
    <col min="5125" max="5128" width="10.77734375" customWidth="1"/>
    <col min="5377" max="5377" width="21" customWidth="1"/>
    <col min="5378" max="5378" width="17.109375" customWidth="1"/>
    <col min="5379" max="5379" width="16.109375" customWidth="1"/>
    <col min="5380" max="5380" width="17.109375" customWidth="1"/>
    <col min="5381" max="5384" width="10.77734375" customWidth="1"/>
    <col min="5633" max="5633" width="21" customWidth="1"/>
    <col min="5634" max="5634" width="17.109375" customWidth="1"/>
    <col min="5635" max="5635" width="16.109375" customWidth="1"/>
    <col min="5636" max="5636" width="17.109375" customWidth="1"/>
    <col min="5637" max="5640" width="10.77734375" customWidth="1"/>
    <col min="5889" max="5889" width="21" customWidth="1"/>
    <col min="5890" max="5890" width="17.109375" customWidth="1"/>
    <col min="5891" max="5891" width="16.109375" customWidth="1"/>
    <col min="5892" max="5892" width="17.109375" customWidth="1"/>
    <col min="5893" max="5896" width="10.77734375" customWidth="1"/>
    <col min="6145" max="6145" width="21" customWidth="1"/>
    <col min="6146" max="6146" width="17.109375" customWidth="1"/>
    <col min="6147" max="6147" width="16.109375" customWidth="1"/>
    <col min="6148" max="6148" width="17.109375" customWidth="1"/>
    <col min="6149" max="6152" width="10.77734375" customWidth="1"/>
    <col min="6401" max="6401" width="21" customWidth="1"/>
    <col min="6402" max="6402" width="17.109375" customWidth="1"/>
    <col min="6403" max="6403" width="16.109375" customWidth="1"/>
    <col min="6404" max="6404" width="17.109375" customWidth="1"/>
    <col min="6405" max="6408" width="10.77734375" customWidth="1"/>
    <col min="6657" max="6657" width="21" customWidth="1"/>
    <col min="6658" max="6658" width="17.109375" customWidth="1"/>
    <col min="6659" max="6659" width="16.109375" customWidth="1"/>
    <col min="6660" max="6660" width="17.109375" customWidth="1"/>
    <col min="6661" max="6664" width="10.77734375" customWidth="1"/>
    <col min="6913" max="6913" width="21" customWidth="1"/>
    <col min="6914" max="6914" width="17.109375" customWidth="1"/>
    <col min="6915" max="6915" width="16.109375" customWidth="1"/>
    <col min="6916" max="6916" width="17.109375" customWidth="1"/>
    <col min="6917" max="6920" width="10.77734375" customWidth="1"/>
    <col min="7169" max="7169" width="21" customWidth="1"/>
    <col min="7170" max="7170" width="17.109375" customWidth="1"/>
    <col min="7171" max="7171" width="16.109375" customWidth="1"/>
    <col min="7172" max="7172" width="17.109375" customWidth="1"/>
    <col min="7173" max="7176" width="10.77734375" customWidth="1"/>
    <col min="7425" max="7425" width="21" customWidth="1"/>
    <col min="7426" max="7426" width="17.109375" customWidth="1"/>
    <col min="7427" max="7427" width="16.109375" customWidth="1"/>
    <col min="7428" max="7428" width="17.109375" customWidth="1"/>
    <col min="7429" max="7432" width="10.77734375" customWidth="1"/>
    <col min="7681" max="7681" width="21" customWidth="1"/>
    <col min="7682" max="7682" width="17.109375" customWidth="1"/>
    <col min="7683" max="7683" width="16.109375" customWidth="1"/>
    <col min="7684" max="7684" width="17.109375" customWidth="1"/>
    <col min="7685" max="7688" width="10.77734375" customWidth="1"/>
    <col min="7937" max="7937" width="21" customWidth="1"/>
    <col min="7938" max="7938" width="17.109375" customWidth="1"/>
    <col min="7939" max="7939" width="16.109375" customWidth="1"/>
    <col min="7940" max="7940" width="17.109375" customWidth="1"/>
    <col min="7941" max="7944" width="10.77734375" customWidth="1"/>
    <col min="8193" max="8193" width="21" customWidth="1"/>
    <col min="8194" max="8194" width="17.109375" customWidth="1"/>
    <col min="8195" max="8195" width="16.109375" customWidth="1"/>
    <col min="8196" max="8196" width="17.109375" customWidth="1"/>
    <col min="8197" max="8200" width="10.77734375" customWidth="1"/>
    <col min="8449" max="8449" width="21" customWidth="1"/>
    <col min="8450" max="8450" width="17.109375" customWidth="1"/>
    <col min="8451" max="8451" width="16.109375" customWidth="1"/>
    <col min="8452" max="8452" width="17.109375" customWidth="1"/>
    <col min="8453" max="8456" width="10.77734375" customWidth="1"/>
    <col min="8705" max="8705" width="21" customWidth="1"/>
    <col min="8706" max="8706" width="17.109375" customWidth="1"/>
    <col min="8707" max="8707" width="16.109375" customWidth="1"/>
    <col min="8708" max="8708" width="17.109375" customWidth="1"/>
    <col min="8709" max="8712" width="10.77734375" customWidth="1"/>
    <col min="8961" max="8961" width="21" customWidth="1"/>
    <col min="8962" max="8962" width="17.109375" customWidth="1"/>
    <col min="8963" max="8963" width="16.109375" customWidth="1"/>
    <col min="8964" max="8964" width="17.109375" customWidth="1"/>
    <col min="8965" max="8968" width="10.77734375" customWidth="1"/>
    <col min="9217" max="9217" width="21" customWidth="1"/>
    <col min="9218" max="9218" width="17.109375" customWidth="1"/>
    <col min="9219" max="9219" width="16.109375" customWidth="1"/>
    <col min="9220" max="9220" width="17.109375" customWidth="1"/>
    <col min="9221" max="9224" width="10.77734375" customWidth="1"/>
    <col min="9473" max="9473" width="21" customWidth="1"/>
    <col min="9474" max="9474" width="17.109375" customWidth="1"/>
    <col min="9475" max="9475" width="16.109375" customWidth="1"/>
    <col min="9476" max="9476" width="17.109375" customWidth="1"/>
    <col min="9477" max="9480" width="10.77734375" customWidth="1"/>
    <col min="9729" max="9729" width="21" customWidth="1"/>
    <col min="9730" max="9730" width="17.109375" customWidth="1"/>
    <col min="9731" max="9731" width="16.109375" customWidth="1"/>
    <col min="9732" max="9732" width="17.109375" customWidth="1"/>
    <col min="9733" max="9736" width="10.77734375" customWidth="1"/>
    <col min="9985" max="9985" width="21" customWidth="1"/>
    <col min="9986" max="9986" width="17.109375" customWidth="1"/>
    <col min="9987" max="9987" width="16.109375" customWidth="1"/>
    <col min="9988" max="9988" width="17.109375" customWidth="1"/>
    <col min="9989" max="9992" width="10.77734375" customWidth="1"/>
    <col min="10241" max="10241" width="21" customWidth="1"/>
    <col min="10242" max="10242" width="17.109375" customWidth="1"/>
    <col min="10243" max="10243" width="16.109375" customWidth="1"/>
    <col min="10244" max="10244" width="17.109375" customWidth="1"/>
    <col min="10245" max="10248" width="10.77734375" customWidth="1"/>
    <col min="10497" max="10497" width="21" customWidth="1"/>
    <col min="10498" max="10498" width="17.109375" customWidth="1"/>
    <col min="10499" max="10499" width="16.109375" customWidth="1"/>
    <col min="10500" max="10500" width="17.109375" customWidth="1"/>
    <col min="10501" max="10504" width="10.77734375" customWidth="1"/>
    <col min="10753" max="10753" width="21" customWidth="1"/>
    <col min="10754" max="10754" width="17.109375" customWidth="1"/>
    <col min="10755" max="10755" width="16.109375" customWidth="1"/>
    <col min="10756" max="10756" width="17.109375" customWidth="1"/>
    <col min="10757" max="10760" width="10.77734375" customWidth="1"/>
    <col min="11009" max="11009" width="21" customWidth="1"/>
    <col min="11010" max="11010" width="17.109375" customWidth="1"/>
    <col min="11011" max="11011" width="16.109375" customWidth="1"/>
    <col min="11012" max="11012" width="17.109375" customWidth="1"/>
    <col min="11013" max="11016" width="10.77734375" customWidth="1"/>
    <col min="11265" max="11265" width="21" customWidth="1"/>
    <col min="11266" max="11266" width="17.109375" customWidth="1"/>
    <col min="11267" max="11267" width="16.109375" customWidth="1"/>
    <col min="11268" max="11268" width="17.109375" customWidth="1"/>
    <col min="11269" max="11272" width="10.77734375" customWidth="1"/>
    <col min="11521" max="11521" width="21" customWidth="1"/>
    <col min="11522" max="11522" width="17.109375" customWidth="1"/>
    <col min="11523" max="11523" width="16.109375" customWidth="1"/>
    <col min="11524" max="11524" width="17.109375" customWidth="1"/>
    <col min="11525" max="11528" width="10.77734375" customWidth="1"/>
    <col min="11777" max="11777" width="21" customWidth="1"/>
    <col min="11778" max="11778" width="17.109375" customWidth="1"/>
    <col min="11779" max="11779" width="16.109375" customWidth="1"/>
    <col min="11780" max="11780" width="17.109375" customWidth="1"/>
    <col min="11781" max="11784" width="10.77734375" customWidth="1"/>
    <col min="12033" max="12033" width="21" customWidth="1"/>
    <col min="12034" max="12034" width="17.109375" customWidth="1"/>
    <col min="12035" max="12035" width="16.109375" customWidth="1"/>
    <col min="12036" max="12036" width="17.109375" customWidth="1"/>
    <col min="12037" max="12040" width="10.77734375" customWidth="1"/>
    <col min="12289" max="12289" width="21" customWidth="1"/>
    <col min="12290" max="12290" width="17.109375" customWidth="1"/>
    <col min="12291" max="12291" width="16.109375" customWidth="1"/>
    <col min="12292" max="12292" width="17.109375" customWidth="1"/>
    <col min="12293" max="12296" width="10.77734375" customWidth="1"/>
    <col min="12545" max="12545" width="21" customWidth="1"/>
    <col min="12546" max="12546" width="17.109375" customWidth="1"/>
    <col min="12547" max="12547" width="16.109375" customWidth="1"/>
    <col min="12548" max="12548" width="17.109375" customWidth="1"/>
    <col min="12549" max="12552" width="10.77734375" customWidth="1"/>
    <col min="12801" max="12801" width="21" customWidth="1"/>
    <col min="12802" max="12802" width="17.109375" customWidth="1"/>
    <col min="12803" max="12803" width="16.109375" customWidth="1"/>
    <col min="12804" max="12804" width="17.109375" customWidth="1"/>
    <col min="12805" max="12808" width="10.77734375" customWidth="1"/>
    <col min="13057" max="13057" width="21" customWidth="1"/>
    <col min="13058" max="13058" width="17.109375" customWidth="1"/>
    <col min="13059" max="13059" width="16.109375" customWidth="1"/>
    <col min="13060" max="13060" width="17.109375" customWidth="1"/>
    <col min="13061" max="13064" width="10.77734375" customWidth="1"/>
    <col min="13313" max="13313" width="21" customWidth="1"/>
    <col min="13314" max="13314" width="17.109375" customWidth="1"/>
    <col min="13315" max="13315" width="16.109375" customWidth="1"/>
    <col min="13316" max="13316" width="17.109375" customWidth="1"/>
    <col min="13317" max="13320" width="10.77734375" customWidth="1"/>
    <col min="13569" max="13569" width="21" customWidth="1"/>
    <col min="13570" max="13570" width="17.109375" customWidth="1"/>
    <col min="13571" max="13571" width="16.109375" customWidth="1"/>
    <col min="13572" max="13572" width="17.109375" customWidth="1"/>
    <col min="13573" max="13576" width="10.77734375" customWidth="1"/>
    <col min="13825" max="13825" width="21" customWidth="1"/>
    <col min="13826" max="13826" width="17.109375" customWidth="1"/>
    <col min="13827" max="13827" width="16.109375" customWidth="1"/>
    <col min="13828" max="13828" width="17.109375" customWidth="1"/>
    <col min="13829" max="13832" width="10.77734375" customWidth="1"/>
    <col min="14081" max="14081" width="21" customWidth="1"/>
    <col min="14082" max="14082" width="17.109375" customWidth="1"/>
    <col min="14083" max="14083" width="16.109375" customWidth="1"/>
    <col min="14084" max="14084" width="17.109375" customWidth="1"/>
    <col min="14085" max="14088" width="10.77734375" customWidth="1"/>
    <col min="14337" max="14337" width="21" customWidth="1"/>
    <col min="14338" max="14338" width="17.109375" customWidth="1"/>
    <col min="14339" max="14339" width="16.109375" customWidth="1"/>
    <col min="14340" max="14340" width="17.109375" customWidth="1"/>
    <col min="14341" max="14344" width="10.77734375" customWidth="1"/>
    <col min="14593" max="14593" width="21" customWidth="1"/>
    <col min="14594" max="14594" width="17.109375" customWidth="1"/>
    <col min="14595" max="14595" width="16.109375" customWidth="1"/>
    <col min="14596" max="14596" width="17.109375" customWidth="1"/>
    <col min="14597" max="14600" width="10.77734375" customWidth="1"/>
    <col min="14849" max="14849" width="21" customWidth="1"/>
    <col min="14850" max="14850" width="17.109375" customWidth="1"/>
    <col min="14851" max="14851" width="16.109375" customWidth="1"/>
    <col min="14852" max="14852" width="17.109375" customWidth="1"/>
    <col min="14853" max="14856" width="10.77734375" customWidth="1"/>
    <col min="15105" max="15105" width="21" customWidth="1"/>
    <col min="15106" max="15106" width="17.109375" customWidth="1"/>
    <col min="15107" max="15107" width="16.109375" customWidth="1"/>
    <col min="15108" max="15108" width="17.109375" customWidth="1"/>
    <col min="15109" max="15112" width="10.77734375" customWidth="1"/>
    <col min="15361" max="15361" width="21" customWidth="1"/>
    <col min="15362" max="15362" width="17.109375" customWidth="1"/>
    <col min="15363" max="15363" width="16.109375" customWidth="1"/>
    <col min="15364" max="15364" width="17.109375" customWidth="1"/>
    <col min="15365" max="15368" width="10.77734375" customWidth="1"/>
    <col min="15617" max="15617" width="21" customWidth="1"/>
    <col min="15618" max="15618" width="17.109375" customWidth="1"/>
    <col min="15619" max="15619" width="16.109375" customWidth="1"/>
    <col min="15620" max="15620" width="17.109375" customWidth="1"/>
    <col min="15621" max="15624" width="10.77734375" customWidth="1"/>
    <col min="15873" max="15873" width="21" customWidth="1"/>
    <col min="15874" max="15874" width="17.109375" customWidth="1"/>
    <col min="15875" max="15875" width="16.109375" customWidth="1"/>
    <col min="15876" max="15876" width="17.109375" customWidth="1"/>
    <col min="15877" max="15880" width="10.77734375" customWidth="1"/>
    <col min="16129" max="16129" width="21" customWidth="1"/>
    <col min="16130" max="16130" width="17.109375" customWidth="1"/>
    <col min="16131" max="16131" width="16.109375" customWidth="1"/>
    <col min="16132" max="16132" width="17.109375" customWidth="1"/>
    <col min="16133" max="16136" width="10.77734375" customWidth="1"/>
  </cols>
  <sheetData>
    <row r="1" spans="1:4" ht="24" customHeight="1" x14ac:dyDescent="0.15">
      <c r="A1" s="76" t="s">
        <v>38</v>
      </c>
      <c r="B1" s="76"/>
      <c r="C1" s="76"/>
      <c r="D1" s="76"/>
    </row>
    <row r="2" spans="1:4" ht="37.5" customHeight="1" x14ac:dyDescent="0.15">
      <c r="A2" s="77" t="s">
        <v>63</v>
      </c>
      <c r="B2" s="78"/>
      <c r="C2" s="78"/>
      <c r="D2" s="78"/>
    </row>
    <row r="3" spans="1:4" ht="18" customHeight="1" x14ac:dyDescent="0.15">
      <c r="D3" s="64" t="s">
        <v>39</v>
      </c>
    </row>
    <row r="4" spans="1:4" ht="19.149999999999999" customHeight="1" x14ac:dyDescent="0.15">
      <c r="A4" s="65" t="s">
        <v>40</v>
      </c>
      <c r="B4" s="65" t="s">
        <v>41</v>
      </c>
      <c r="C4" s="65" t="s">
        <v>42</v>
      </c>
      <c r="D4" s="65" t="s">
        <v>43</v>
      </c>
    </row>
    <row r="5" spans="1:4" ht="19.149999999999999" customHeight="1" x14ac:dyDescent="0.15">
      <c r="A5" s="66" t="s">
        <v>44</v>
      </c>
      <c r="B5" s="67">
        <v>11853218</v>
      </c>
      <c r="C5" s="67">
        <v>578206</v>
      </c>
      <c r="D5" s="67">
        <v>72276</v>
      </c>
    </row>
    <row r="6" spans="1:4" ht="19.149999999999999" customHeight="1" x14ac:dyDescent="0.15">
      <c r="A6" s="66" t="s">
        <v>45</v>
      </c>
      <c r="B6" s="67">
        <v>10707960</v>
      </c>
      <c r="C6" s="67">
        <v>522340</v>
      </c>
      <c r="D6" s="67">
        <v>65292</v>
      </c>
    </row>
    <row r="7" spans="1:4" ht="19.149999999999999" customHeight="1" x14ac:dyDescent="0.15">
      <c r="A7" s="66" t="s">
        <v>46</v>
      </c>
      <c r="B7" s="67">
        <v>9740667</v>
      </c>
      <c r="C7" s="67">
        <v>475154</v>
      </c>
      <c r="D7" s="67">
        <v>59394</v>
      </c>
    </row>
    <row r="8" spans="1:4" ht="19.149999999999999" customHeight="1" x14ac:dyDescent="0.15">
      <c r="A8" s="66" t="s">
        <v>47</v>
      </c>
      <c r="B8" s="67">
        <v>8499309</v>
      </c>
      <c r="C8" s="67">
        <v>414600</v>
      </c>
      <c r="D8" s="67">
        <v>51825</v>
      </c>
    </row>
    <row r="9" spans="1:4" ht="19.149999999999999" customHeight="1" x14ac:dyDescent="0.15">
      <c r="A9" s="66" t="s">
        <v>29</v>
      </c>
      <c r="B9" s="67">
        <v>10086804</v>
      </c>
      <c r="C9" s="67">
        <v>492039</v>
      </c>
      <c r="D9" s="67">
        <v>61505</v>
      </c>
    </row>
    <row r="10" spans="1:4" ht="19.149999999999999" customHeight="1" x14ac:dyDescent="0.15">
      <c r="A10" s="66" t="s">
        <v>30</v>
      </c>
      <c r="B10" s="67">
        <v>11103230</v>
      </c>
      <c r="C10" s="67">
        <v>541621</v>
      </c>
      <c r="D10" s="67">
        <v>67703</v>
      </c>
    </row>
    <row r="11" spans="1:4" ht="19.149999999999999" customHeight="1" x14ac:dyDescent="0.15">
      <c r="A11" s="66" t="s">
        <v>61</v>
      </c>
      <c r="B11" s="67">
        <v>6901660</v>
      </c>
      <c r="C11" s="67">
        <v>336666</v>
      </c>
      <c r="D11" s="67">
        <v>42083</v>
      </c>
    </row>
    <row r="12" spans="1:4" ht="19.149999999999999" customHeight="1" x14ac:dyDescent="0.15">
      <c r="A12" s="66" t="s">
        <v>31</v>
      </c>
      <c r="B12" s="67">
        <v>5159246</v>
      </c>
      <c r="C12" s="67">
        <v>251671</v>
      </c>
      <c r="D12" s="67">
        <v>31459</v>
      </c>
    </row>
    <row r="13" spans="1:4" ht="19.149999999999999" customHeight="1" x14ac:dyDescent="0.15">
      <c r="A13" s="66" t="s">
        <v>32</v>
      </c>
      <c r="B13" s="67">
        <v>7754124</v>
      </c>
      <c r="C13" s="67">
        <v>378250</v>
      </c>
      <c r="D13" s="67">
        <v>47281</v>
      </c>
    </row>
    <row r="14" spans="1:4" ht="19.149999999999999" customHeight="1" x14ac:dyDescent="0.15">
      <c r="A14" s="66" t="s">
        <v>48</v>
      </c>
      <c r="B14" s="67">
        <v>5840196</v>
      </c>
      <c r="C14" s="67">
        <v>284888</v>
      </c>
      <c r="D14" s="67">
        <v>35611</v>
      </c>
    </row>
    <row r="15" spans="1:4" ht="19.149999999999999" customHeight="1" x14ac:dyDescent="0.15">
      <c r="A15" s="66" t="s">
        <v>49</v>
      </c>
      <c r="B15" s="67">
        <v>10649117</v>
      </c>
      <c r="C15" s="67">
        <v>519469</v>
      </c>
      <c r="D15" s="67">
        <v>64934</v>
      </c>
    </row>
    <row r="16" spans="1:4" ht="19.149999999999999" customHeight="1" x14ac:dyDescent="0.15">
      <c r="A16" s="66" t="s">
        <v>50</v>
      </c>
      <c r="B16" s="67">
        <v>5170016</v>
      </c>
      <c r="C16" s="67">
        <v>252196</v>
      </c>
      <c r="D16" s="67">
        <v>31524</v>
      </c>
    </row>
    <row r="17" spans="1:4" ht="19.149999999999999" customHeight="1" x14ac:dyDescent="0.15">
      <c r="A17" s="66" t="s">
        <v>51</v>
      </c>
      <c r="B17" s="67">
        <v>11793500</v>
      </c>
      <c r="C17" s="67">
        <v>575293</v>
      </c>
      <c r="D17" s="67">
        <v>71912</v>
      </c>
    </row>
    <row r="18" spans="1:4" ht="19.149999999999999" customHeight="1" x14ac:dyDescent="0.15">
      <c r="A18" s="66" t="s">
        <v>52</v>
      </c>
      <c r="B18" s="67">
        <v>11042071</v>
      </c>
      <c r="C18" s="67">
        <v>538638</v>
      </c>
      <c r="D18" s="67">
        <v>67330</v>
      </c>
    </row>
    <row r="19" spans="1:4" ht="19.149999999999999" customHeight="1" x14ac:dyDescent="0.15">
      <c r="A19" s="66" t="s">
        <v>53</v>
      </c>
      <c r="B19" s="67">
        <v>4053137</v>
      </c>
      <c r="C19" s="67">
        <v>197714</v>
      </c>
      <c r="D19" s="67">
        <v>24714</v>
      </c>
    </row>
    <row r="20" spans="1:4" ht="19.149999999999999" customHeight="1" x14ac:dyDescent="0.15">
      <c r="A20" s="66" t="s">
        <v>54</v>
      </c>
      <c r="B20" s="67">
        <v>11745154</v>
      </c>
      <c r="C20" s="67">
        <v>572934</v>
      </c>
      <c r="D20" s="67">
        <v>71617</v>
      </c>
    </row>
    <row r="21" spans="1:4" ht="19.149999999999999" customHeight="1" x14ac:dyDescent="0.15">
      <c r="A21" s="66" t="s">
        <v>55</v>
      </c>
      <c r="B21" s="67">
        <v>10411680</v>
      </c>
      <c r="C21" s="67">
        <v>507887</v>
      </c>
      <c r="D21" s="67">
        <v>63486</v>
      </c>
    </row>
    <row r="22" spans="1:4" ht="47.25" customHeight="1" x14ac:dyDescent="0.15">
      <c r="A22" s="79" t="s">
        <v>56</v>
      </c>
      <c r="B22" s="80"/>
      <c r="C22" s="80"/>
      <c r="D22" s="81"/>
    </row>
    <row r="23" spans="1:4" ht="20.100000000000001" customHeight="1" x14ac:dyDescent="0.15"/>
    <row r="24" spans="1:4" ht="20.100000000000001" customHeight="1" x14ac:dyDescent="0.15"/>
    <row r="25" spans="1:4" ht="20.100000000000001" customHeight="1" x14ac:dyDescent="0.15"/>
    <row r="26" spans="1:4" ht="20.100000000000001" customHeight="1" x14ac:dyDescent="0.15"/>
    <row r="27" spans="1:4" ht="20.100000000000001" customHeight="1" x14ac:dyDescent="0.15"/>
    <row r="28" spans="1:4" ht="20.100000000000001" customHeight="1" x14ac:dyDescent="0.15"/>
    <row r="29" spans="1:4" ht="20.100000000000001" customHeight="1" x14ac:dyDescent="0.15"/>
    <row r="30" spans="1:4" ht="20.100000000000001" customHeight="1" x14ac:dyDescent="0.15"/>
    <row r="31" spans="1:4" ht="20.100000000000001" customHeight="1" x14ac:dyDescent="0.15"/>
  </sheetData>
  <mergeCells count="3">
    <mergeCell ref="A1:D1"/>
    <mergeCell ref="A2:D2"/>
    <mergeCell ref="A22:D22"/>
  </mergeCells>
  <phoneticPr fontId="4" type="noConversion"/>
  <printOptions horizontalCentered="1"/>
  <pageMargins left="0.35433070866141736" right="0.35433070866141736" top="0.9448818897637796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표준견적서</vt:lpstr>
      <vt:lpstr>세부 내역</vt:lpstr>
      <vt:lpstr>26년 SW기술자 평균임금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</dc:creator>
  <cp:lastModifiedBy>In Cheol Lee</cp:lastModifiedBy>
  <dcterms:created xsi:type="dcterms:W3CDTF">2018-04-04T00:44:41Z</dcterms:created>
  <dcterms:modified xsi:type="dcterms:W3CDTF">2026-04-10T05:24:31Z</dcterms:modified>
</cp:coreProperties>
</file>